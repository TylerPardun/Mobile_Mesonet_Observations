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ect_times" sheetId="1" r:id="rId4"/>
  </sheets>
  <definedNames/>
  <calcPr/>
  <extLst>
    <ext uri="GoogleSheetsCustomDataVersion2">
      <go:sheetsCustomData xmlns:go="http://customooxmlschemas.google.com/" r:id="rId5" roundtripDataChecksum="jPXgF6vDeuHHdsDjQnGd7z9Ni7TwGN8i8ptFXRz9AGk="/>
    </ext>
  </extLst>
</workbook>
</file>

<file path=xl/sharedStrings.xml><?xml version="1.0" encoding="utf-8"?>
<sst xmlns="http://schemas.openxmlformats.org/spreadsheetml/2006/main" count="1106" uniqueCount="721">
  <si>
    <t>ID</t>
  </si>
  <si>
    <t>CaseID</t>
  </si>
  <si>
    <t>Merged Radars</t>
  </si>
  <si>
    <t>Observation Start</t>
  </si>
  <si>
    <t>Observation End</t>
  </si>
  <si>
    <t>Radar</t>
  </si>
  <si>
    <t>Mode</t>
  </si>
  <si>
    <t>Type</t>
  </si>
  <si>
    <t>Tstart</t>
  </si>
  <si>
    <t>Tend</t>
  </si>
  <si>
    <t>BeginLat</t>
  </si>
  <si>
    <t>BeginLon</t>
  </si>
  <si>
    <t>EndLat</t>
  </si>
  <si>
    <t>EndLon</t>
  </si>
  <si>
    <t>Duration</t>
  </si>
  <si>
    <t>Strength</t>
  </si>
  <si>
    <t>Max AzShear</t>
  </si>
  <si>
    <t>Length [km]</t>
  </si>
  <si>
    <t>Width [m]</t>
  </si>
  <si>
    <t>Length [mi]</t>
  </si>
  <si>
    <t>Width [yds]</t>
  </si>
  <si>
    <t>20090527_0</t>
  </si>
  <si>
    <t>N1</t>
  </si>
  <si>
    <t>KFDR, KFWS, KTLX, KDYX</t>
  </si>
  <si>
    <t>20090527-0045</t>
  </si>
  <si>
    <t>20090527-0245</t>
  </si>
  <si>
    <t>KFWS</t>
  </si>
  <si>
    <t>N0</t>
  </si>
  <si>
    <t>HP</t>
  </si>
  <si>
    <t>20090527-0113</t>
  </si>
  <si>
    <t>20090604_1</t>
  </si>
  <si>
    <t>N2</t>
  </si>
  <si>
    <t>KPUX, KCYS, KGLD, KFTG</t>
  </si>
  <si>
    <t>20090604-2245</t>
  </si>
  <si>
    <t>20090604-2336</t>
  </si>
  <si>
    <t>KCYS</t>
  </si>
  <si>
    <t>LP</t>
  </si>
  <si>
    <t>20090604-2310</t>
  </si>
  <si>
    <t>20090606_2</t>
  </si>
  <si>
    <t>N3</t>
  </si>
  <si>
    <t>KFTG, KLNX, KGLD, KCYS</t>
  </si>
  <si>
    <t>20090606-0026</t>
  </si>
  <si>
    <t>20090606-0200</t>
  </si>
  <si>
    <t>CS</t>
  </si>
  <si>
    <t>20090606-0142</t>
  </si>
  <si>
    <t>20090605_3</t>
  </si>
  <si>
    <t>T1</t>
  </si>
  <si>
    <t>KFTG, KUDX, KLNX, KCYS</t>
  </si>
  <si>
    <t>20090605-2120</t>
  </si>
  <si>
    <t>20090606-0021</t>
  </si>
  <si>
    <t>T</t>
  </si>
  <si>
    <t>20090605-2202</t>
  </si>
  <si>
    <t>20090605-2231</t>
  </si>
  <si>
    <t>EF2</t>
  </si>
  <si>
    <t>20090605_4</t>
  </si>
  <si>
    <t>N4</t>
  </si>
  <si>
    <t>KLNX, KFTG, KCYS, KGLD</t>
  </si>
  <si>
    <t>20090605-2347</t>
  </si>
  <si>
    <t>20090607_5</t>
  </si>
  <si>
    <t>T2</t>
  </si>
  <si>
    <t>KDMX, KTWX, KOAX, KEAX</t>
  </si>
  <si>
    <t>20090607-2245</t>
  </si>
  <si>
    <t>20090608-0200</t>
  </si>
  <si>
    <t>KEAX</t>
  </si>
  <si>
    <t>20090608-0113</t>
  </si>
  <si>
    <t>20090608-0114</t>
  </si>
  <si>
    <t>EF0</t>
  </si>
  <si>
    <t>20090609_6</t>
  </si>
  <si>
    <t>T3</t>
  </si>
  <si>
    <t>KVNX, KICT, KDDC, KGLD</t>
  </si>
  <si>
    <t>20090609-2305</t>
  </si>
  <si>
    <t>20090610-0050</t>
  </si>
  <si>
    <t>KDDC</t>
  </si>
  <si>
    <t>20090609-2353</t>
  </si>
  <si>
    <t>20090609-2354</t>
  </si>
  <si>
    <t>20090611_7</t>
  </si>
  <si>
    <t>T4</t>
  </si>
  <si>
    <t>KGLD, KDDC, KFTG, KPUX</t>
  </si>
  <si>
    <t>20090611-2353</t>
  </si>
  <si>
    <t>20090612-0300</t>
  </si>
  <si>
    <t>KPUX</t>
  </si>
  <si>
    <t>20090612-0003</t>
  </si>
  <si>
    <t>20090612-0005</t>
  </si>
  <si>
    <t>20100510_8</t>
  </si>
  <si>
    <t>T5</t>
  </si>
  <si>
    <t>KTLX, KVNX, KINX, KFDR</t>
  </si>
  <si>
    <t>20100510-2300</t>
  </si>
  <si>
    <t>20100511-0000</t>
  </si>
  <si>
    <t>KTLX</t>
  </si>
  <si>
    <t>20100510-2345</t>
  </si>
  <si>
    <t>20100511-0010</t>
  </si>
  <si>
    <t>EF1</t>
  </si>
  <si>
    <t>20190517_9</t>
  </si>
  <si>
    <t>T6</t>
  </si>
  <si>
    <t>KDDC, KLNX, KGLD, KUEX</t>
  </si>
  <si>
    <t>20190517-2251</t>
  </si>
  <si>
    <t>20190518-0100</t>
  </si>
  <si>
    <t>KGLD</t>
  </si>
  <si>
    <t>20190518-0015</t>
  </si>
  <si>
    <t>20190518-0033</t>
  </si>
  <si>
    <t>20190520_10</t>
  </si>
  <si>
    <t>T7</t>
  </si>
  <si>
    <t>KFDR, KLBB, KAMA, KTLX</t>
  </si>
  <si>
    <t>20190520-2030</t>
  </si>
  <si>
    <t>20190520-2320</t>
  </si>
  <si>
    <t>KFDR</t>
  </si>
  <si>
    <t>20190520-2212</t>
  </si>
  <si>
    <t>20190520-2229</t>
  </si>
  <si>
    <t>20190524_11</t>
  </si>
  <si>
    <t>N5</t>
  </si>
  <si>
    <t>KAMA, KDYX, KFDR, KLBB</t>
  </si>
  <si>
    <t>20190524-2007</t>
  </si>
  <si>
    <t>20190524-2200</t>
  </si>
  <si>
    <t>KLBB</t>
  </si>
  <si>
    <t>20190524-2053</t>
  </si>
  <si>
    <t>20190526_12</t>
  </si>
  <si>
    <t>T8</t>
  </si>
  <si>
    <t>KPUX, KDDC, KFTG, KGLD</t>
  </si>
  <si>
    <t>20190526-2114</t>
  </si>
  <si>
    <t>20190526-2230</t>
  </si>
  <si>
    <t>20190526-2210</t>
  </si>
  <si>
    <t>20190526-2211</t>
  </si>
  <si>
    <t>EFU</t>
  </si>
  <si>
    <t>20190527_13</t>
  </si>
  <si>
    <t>T9</t>
  </si>
  <si>
    <t>KCYS, KGLD, KLNX, KFTG</t>
  </si>
  <si>
    <t>20190527-2254</t>
  </si>
  <si>
    <t>20190528-0015</t>
  </si>
  <si>
    <t>20190527-2325</t>
  </si>
  <si>
    <t>20190528_14</t>
  </si>
  <si>
    <t>N6</t>
  </si>
  <si>
    <t>KUEX, KDDC, KICT, KTWX</t>
  </si>
  <si>
    <t>20190528-2222</t>
  </si>
  <si>
    <t>20190528-2239</t>
  </si>
  <si>
    <t>KUEX</t>
  </si>
  <si>
    <t>20190528-2224</t>
  </si>
  <si>
    <t>20190528_15</t>
  </si>
  <si>
    <t>T10</t>
  </si>
  <si>
    <t>20190528-2200</t>
  </si>
  <si>
    <t>20190528-2342</t>
  </si>
  <si>
    <t>20190528-2220</t>
  </si>
  <si>
    <t>20190528-2303</t>
  </si>
  <si>
    <t>20190608_16</t>
  </si>
  <si>
    <t>T11</t>
  </si>
  <si>
    <t>KPUX, KUEX, KGLD, KDDC</t>
  </si>
  <si>
    <t>20190608-2340</t>
  </si>
  <si>
    <t>20190609-0230</t>
  </si>
  <si>
    <t>20190609-0210</t>
  </si>
  <si>
    <t>20190609-0226</t>
  </si>
  <si>
    <t>20190615_17</t>
  </si>
  <si>
    <t>N7</t>
  </si>
  <si>
    <t>KFDX, KLBB, KMAF, KAMA</t>
  </si>
  <si>
    <t>20190615-2333</t>
  </si>
  <si>
    <t>20190616-0025</t>
  </si>
  <si>
    <t>KFDX</t>
  </si>
  <si>
    <t>20190615-2340</t>
  </si>
  <si>
    <t>20220523_18</t>
  </si>
  <si>
    <t>T12</t>
  </si>
  <si>
    <t>KAMA, KMAF, KFDX, KLBB</t>
  </si>
  <si>
    <t>20220523-2319</t>
  </si>
  <si>
    <t>20220524-0230</t>
  </si>
  <si>
    <t>20220524-0003</t>
  </si>
  <si>
    <t>20220524-0018</t>
  </si>
  <si>
    <t>20220531_19</t>
  </si>
  <si>
    <t>T13</t>
  </si>
  <si>
    <t>KICT, KINX, KVNX, KTWX</t>
  </si>
  <si>
    <t>20220531-2128</t>
  </si>
  <si>
    <t>20220601-0015</t>
  </si>
  <si>
    <t>KICT</t>
  </si>
  <si>
    <t>20220531-2348</t>
  </si>
  <si>
    <t>20220531-2349</t>
  </si>
  <si>
    <t>20220606_20</t>
  </si>
  <si>
    <t>N8</t>
  </si>
  <si>
    <t>KCYS, KGLD, KLNX, KUDX</t>
  </si>
  <si>
    <t>20220606-2142</t>
  </si>
  <si>
    <t>20220606-2209</t>
  </si>
  <si>
    <t>KLNX</t>
  </si>
  <si>
    <t>20220606-2202</t>
  </si>
  <si>
    <t>20220606_21</t>
  </si>
  <si>
    <t>N9</t>
  </si>
  <si>
    <t>KCYS, KLNX, KUDX, KFTG</t>
  </si>
  <si>
    <t>20220606-2255</t>
  </si>
  <si>
    <t>20220606-2347</t>
  </si>
  <si>
    <t>KUDX</t>
  </si>
  <si>
    <t>20220606-2346</t>
  </si>
  <si>
    <t>20220607_22</t>
  </si>
  <si>
    <t>T14</t>
  </si>
  <si>
    <t>KCYS, KGLD, KFTG, KLNX</t>
  </si>
  <si>
    <t>20220607-2232</t>
  </si>
  <si>
    <t>20220607-2331</t>
  </si>
  <si>
    <t>20220607-2303</t>
  </si>
  <si>
    <t>20220607-2304</t>
  </si>
  <si>
    <t>20220607_23</t>
  </si>
  <si>
    <t>T15</t>
  </si>
  <si>
    <t>20220607-2349</t>
  </si>
  <si>
    <t>20220608-0027</t>
  </si>
  <si>
    <t>20220608-0009</t>
  </si>
  <si>
    <t>20220608-0010</t>
  </si>
  <si>
    <t>20220609_24</t>
  </si>
  <si>
    <t>N10</t>
  </si>
  <si>
    <t>KUEX, KGLD, KLNX, KUDX</t>
  </si>
  <si>
    <t>20220609-2320</t>
  </si>
  <si>
    <t>20220610-0003</t>
  </si>
  <si>
    <t>20220609-2354</t>
  </si>
  <si>
    <t>20220610_25</t>
  </si>
  <si>
    <t>N11</t>
  </si>
  <si>
    <t>KUEX, KOAX, KGLD, KLNX</t>
  </si>
  <si>
    <t>20220610-0114</t>
  </si>
  <si>
    <t>20220610-0138</t>
  </si>
  <si>
    <t>20220610-0132</t>
  </si>
  <si>
    <t>20220612_26</t>
  </si>
  <si>
    <t>N12</t>
  </si>
  <si>
    <t>KUDX, KLNX, KCYS, KBIS</t>
  </si>
  <si>
    <t>20220612-0119</t>
  </si>
  <si>
    <t>20220612-0300</t>
  </si>
  <si>
    <t>20220612-0243</t>
  </si>
  <si>
    <t>20220612_27</t>
  </si>
  <si>
    <t>N13</t>
  </si>
  <si>
    <t>KUDX, KBLX, KBIS, KCYS</t>
  </si>
  <si>
    <t>20220612-2149</t>
  </si>
  <si>
    <t>20220612-2300</t>
  </si>
  <si>
    <t>20220612-2251</t>
  </si>
  <si>
    <t>20220613_28</t>
  </si>
  <si>
    <t>N14</t>
  </si>
  <si>
    <t>20220613-0000</t>
  </si>
  <si>
    <t>20220613-0100</t>
  </si>
  <si>
    <t>20220613-0033</t>
  </si>
  <si>
    <t>20230523_29</t>
  </si>
  <si>
    <t>N15</t>
  </si>
  <si>
    <t>20230523-2209</t>
  </si>
  <si>
    <t>20230523-2231</t>
  </si>
  <si>
    <t>20230523-2225</t>
  </si>
  <si>
    <t>20230523_30</t>
  </si>
  <si>
    <t>T16</t>
  </si>
  <si>
    <t>KLBB, KFDX, KMAF, KAMA</t>
  </si>
  <si>
    <t>20230523-2244</t>
  </si>
  <si>
    <t>20230524-0000</t>
  </si>
  <si>
    <t>20230523-2257</t>
  </si>
  <si>
    <t>20230523-2301</t>
  </si>
  <si>
    <t>20230525_31</t>
  </si>
  <si>
    <t>T17</t>
  </si>
  <si>
    <t>KFDX, KLBB, KABX, KAMA</t>
  </si>
  <si>
    <t>20230525-0015</t>
  </si>
  <si>
    <t>20230525-0130</t>
  </si>
  <si>
    <t>20230525-0100</t>
  </si>
  <si>
    <t>20230525-0103</t>
  </si>
  <si>
    <t>20230527_32</t>
  </si>
  <si>
    <t>N16</t>
  </si>
  <si>
    <t>20230527-0031</t>
  </si>
  <si>
    <t>20230527-0146</t>
  </si>
  <si>
    <t>20230527-0125</t>
  </si>
  <si>
    <t>20230528_33</t>
  </si>
  <si>
    <t>T18</t>
  </si>
  <si>
    <t>KMAF, KAMA, KFDX, KLBB</t>
  </si>
  <si>
    <t>20230528-0015</t>
  </si>
  <si>
    <t>20230528-0130</t>
  </si>
  <si>
    <t>20230528-0038</t>
  </si>
  <si>
    <t>20230528-0042</t>
  </si>
  <si>
    <t>20230601_34</t>
  </si>
  <si>
    <t>N17</t>
  </si>
  <si>
    <t>KDYX, KSJT, KMAF, KLBB</t>
  </si>
  <si>
    <t>20230601-2238</t>
  </si>
  <si>
    <t>20230601-2326</t>
  </si>
  <si>
    <t>KMAF</t>
  </si>
  <si>
    <t>20230601-2243</t>
  </si>
  <si>
    <t>20230602_35</t>
  </si>
  <si>
    <t>T19</t>
  </si>
  <si>
    <t>KLBB, KFDX, KSJT, KMAF</t>
  </si>
  <si>
    <t>20230602-1825</t>
  </si>
  <si>
    <t>20230602-1930</t>
  </si>
  <si>
    <t>20230602-1829</t>
  </si>
  <si>
    <t>20230602-1830</t>
  </si>
  <si>
    <t>20230609_36</t>
  </si>
  <si>
    <t>N18</t>
  </si>
  <si>
    <t>KAMA, KFDX, KLBB, KFDR</t>
  </si>
  <si>
    <t>20230609-2200</t>
  </si>
  <si>
    <t>20230609-2258</t>
  </si>
  <si>
    <t>KAMA</t>
  </si>
  <si>
    <t>20230609-2210</t>
  </si>
  <si>
    <t>20230609_37</t>
  </si>
  <si>
    <t>N19</t>
  </si>
  <si>
    <t>20230609-2259</t>
  </si>
  <si>
    <t>20230609-2324</t>
  </si>
  <si>
    <t>20230609-2312</t>
  </si>
  <si>
    <t>20230611_38</t>
  </si>
  <si>
    <t>N20</t>
  </si>
  <si>
    <t>KGLD, KAMA, KPUX, KFDX</t>
  </si>
  <si>
    <t>20230611-2200</t>
  </si>
  <si>
    <t>20230611-2300</t>
  </si>
  <si>
    <t>20230611-2242</t>
  </si>
  <si>
    <t>20230612_39</t>
  </si>
  <si>
    <t>N21</t>
  </si>
  <si>
    <t>KABX, KAMA, KPUX, KFDX</t>
  </si>
  <si>
    <t>20230612-2148</t>
  </si>
  <si>
    <t>20230612-2223</t>
  </si>
  <si>
    <t>20230612-2149</t>
  </si>
  <si>
    <t>20230612_40</t>
  </si>
  <si>
    <t>N22</t>
  </si>
  <si>
    <t>KPUX, KFDX, KLBB, KAMA</t>
  </si>
  <si>
    <t>20230612-2313</t>
  </si>
  <si>
    <t>20230612-2350</t>
  </si>
  <si>
    <t>20230612-2314</t>
  </si>
  <si>
    <t>20230613_41</t>
  </si>
  <si>
    <t>N23</t>
  </si>
  <si>
    <t>KLBB, KFDX, KABX, KAMA</t>
  </si>
  <si>
    <t>20230613-0015</t>
  </si>
  <si>
    <t>20230613-0055</t>
  </si>
  <si>
    <t>20230613-0020</t>
  </si>
  <si>
    <t>20230615_42</t>
  </si>
  <si>
    <t>T20</t>
  </si>
  <si>
    <t>KVNX, KFDR, KAMA, KDDC</t>
  </si>
  <si>
    <t>20230615-2315</t>
  </si>
  <si>
    <t>20230615-2356</t>
  </si>
  <si>
    <t>20230615-2329</t>
  </si>
  <si>
    <t>20230615-2333</t>
  </si>
  <si>
    <t>20100512_43</t>
  </si>
  <si>
    <t>T21</t>
  </si>
  <si>
    <t>20100512-0113</t>
  </si>
  <si>
    <t>20100512-0220</t>
  </si>
  <si>
    <t>KVNX</t>
  </si>
  <si>
    <t>20100512-0127</t>
  </si>
  <si>
    <t>20100512_44</t>
  </si>
  <si>
    <t>T22</t>
  </si>
  <si>
    <t>KTLX, KAMA, KLBB, KFDR</t>
  </si>
  <si>
    <t>20100512-2310</t>
  </si>
  <si>
    <t>20100513-0205</t>
  </si>
  <si>
    <t>20100512-2320</t>
  </si>
  <si>
    <t>20100512-2325</t>
  </si>
  <si>
    <t>20100514_45</t>
  </si>
  <si>
    <t>N24</t>
  </si>
  <si>
    <t>KLBB, KSJT, KDYX, KMAF</t>
  </si>
  <si>
    <t>20100514-1920</t>
  </si>
  <si>
    <t>20100514-2114</t>
  </si>
  <si>
    <t>20100514-2102</t>
  </si>
  <si>
    <t>20100519_46</t>
  </si>
  <si>
    <t>T23</t>
  </si>
  <si>
    <t>KFDR, KICT, KVNX, KTLX</t>
  </si>
  <si>
    <t>20100519-2016</t>
  </si>
  <si>
    <t>20100520-0000</t>
  </si>
  <si>
    <t>20100519-2233</t>
  </si>
  <si>
    <t>20100519-2300</t>
  </si>
  <si>
    <t>20100522_47</t>
  </si>
  <si>
    <t>N25</t>
  </si>
  <si>
    <t>20100522-0020</t>
  </si>
  <si>
    <t>20100522-0155</t>
  </si>
  <si>
    <t>20100522-0039</t>
  </si>
  <si>
    <t>20100524_48</t>
  </si>
  <si>
    <t>N26</t>
  </si>
  <si>
    <t>KLNX, KCYS, KGLD, KUEX</t>
  </si>
  <si>
    <t>20100524-2220</t>
  </si>
  <si>
    <t>20100524-2310</t>
  </si>
  <si>
    <t>20100524-2245</t>
  </si>
  <si>
    <t>20100525_49</t>
  </si>
  <si>
    <t>T24</t>
  </si>
  <si>
    <t>KFTG, KDDC, KGLD, KPUX</t>
  </si>
  <si>
    <t>20100525-2320</t>
  </si>
  <si>
    <t>20100526-0130</t>
  </si>
  <si>
    <t>20100525-2349</t>
  </si>
  <si>
    <t>20100525-2351</t>
  </si>
  <si>
    <t>20100525_50</t>
  </si>
  <si>
    <t>T25</t>
  </si>
  <si>
    <t>KPUX, KFTG, KDDC, KGLD</t>
  </si>
  <si>
    <t>20100525-2238</t>
  </si>
  <si>
    <t>20100525-2323</t>
  </si>
  <si>
    <t>20100525-2317</t>
  </si>
  <si>
    <t>20100602_51</t>
  </si>
  <si>
    <t>N27</t>
  </si>
  <si>
    <t>KPUX, KFTG, KLNX, KGLD</t>
  </si>
  <si>
    <t>20100602-2235</t>
  </si>
  <si>
    <t>20100603-0027</t>
  </si>
  <si>
    <t>20100602-2240</t>
  </si>
  <si>
    <t>20100603_52</t>
  </si>
  <si>
    <t>N28</t>
  </si>
  <si>
    <t>KLNX, KOAX, KUEX, KFSD</t>
  </si>
  <si>
    <t>20100603-2348</t>
  </si>
  <si>
    <t>20100604-0150</t>
  </si>
  <si>
    <t>KFSD</t>
  </si>
  <si>
    <t>20100604-0030</t>
  </si>
  <si>
    <t>20100606_53</t>
  </si>
  <si>
    <t>N29</t>
  </si>
  <si>
    <t>20100606-2156</t>
  </si>
  <si>
    <t>20100607-0015</t>
  </si>
  <si>
    <t>20100606-2236</t>
  </si>
  <si>
    <t>20100607_54</t>
  </si>
  <si>
    <t>T26</t>
  </si>
  <si>
    <t>KCYS, KFTG, KUDX, KLNX</t>
  </si>
  <si>
    <t>20100607-2326</t>
  </si>
  <si>
    <t>20100608-0036</t>
  </si>
  <si>
    <t>20100608-0020</t>
  </si>
  <si>
    <t>20100608-0035</t>
  </si>
  <si>
    <t>20100608_55</t>
  </si>
  <si>
    <t>T27</t>
  </si>
  <si>
    <t>KCYS, KLNX, KFTG, KUDX</t>
  </si>
  <si>
    <t>20100608-0050</t>
  </si>
  <si>
    <t>20100608-0200</t>
  </si>
  <si>
    <t>20100608-0123</t>
  </si>
  <si>
    <t>20100610_56</t>
  </si>
  <si>
    <t>N30</t>
  </si>
  <si>
    <t>KCYS, KUDX, KFTG, KLNX</t>
  </si>
  <si>
    <t>20100610-0023</t>
  </si>
  <si>
    <t>20100610-0230</t>
  </si>
  <si>
    <t>20100610-0121</t>
  </si>
  <si>
    <t>20100610_57</t>
  </si>
  <si>
    <t>N31</t>
  </si>
  <si>
    <t>KGLD, KCYS, KFTG, KPUX</t>
  </si>
  <si>
    <t>20100610-2325</t>
  </si>
  <si>
    <t>20100611-0110</t>
  </si>
  <si>
    <t>KFTG</t>
  </si>
  <si>
    <t>20100611-0028</t>
  </si>
  <si>
    <t>20100611_58</t>
  </si>
  <si>
    <t>T28</t>
  </si>
  <si>
    <t>20100611-0104</t>
  </si>
  <si>
    <t>20100611-0330</t>
  </si>
  <si>
    <t>20100611-0146</t>
  </si>
  <si>
    <t>20100611_59</t>
  </si>
  <si>
    <t>T29</t>
  </si>
  <si>
    <t>20100611-2305</t>
  </si>
  <si>
    <t>20100612-0200</t>
  </si>
  <si>
    <t>20100611-2327</t>
  </si>
  <si>
    <t>20100612_60</t>
  </si>
  <si>
    <t>T30</t>
  </si>
  <si>
    <t>KLBB, KFDX, KAMA, KDDC</t>
  </si>
  <si>
    <t>20100612-2000</t>
  </si>
  <si>
    <t>20100612-2213</t>
  </si>
  <si>
    <t>20100612-2014</t>
  </si>
  <si>
    <t>20100612-2016</t>
  </si>
  <si>
    <t>20100613_61</t>
  </si>
  <si>
    <t>T31</t>
  </si>
  <si>
    <t>20100613-1955</t>
  </si>
  <si>
    <t>20100613-2230</t>
  </si>
  <si>
    <t>20100613-2117</t>
  </si>
  <si>
    <t>20100613-2122</t>
  </si>
  <si>
    <t>20100614_62</t>
  </si>
  <si>
    <t>T32</t>
  </si>
  <si>
    <t>20100614-1900</t>
  </si>
  <si>
    <t>20100614-2035</t>
  </si>
  <si>
    <t>20100614-1940</t>
  </si>
  <si>
    <t>20100614-1941</t>
  </si>
  <si>
    <t>20190611_63</t>
  </si>
  <si>
    <t>N32</t>
  </si>
  <si>
    <t>20190611-2354</t>
  </si>
  <si>
    <t>20190612-0141</t>
  </si>
  <si>
    <t>20190612-0049</t>
  </si>
  <si>
    <t>20170522_64</t>
  </si>
  <si>
    <t>N33</t>
  </si>
  <si>
    <t>KFDR, KLBB, KSJT, KDYX</t>
  </si>
  <si>
    <t>20170522-2120</t>
  </si>
  <si>
    <t>20170523-0030</t>
  </si>
  <si>
    <t>KDYX</t>
  </si>
  <si>
    <t>20170522-2347</t>
  </si>
  <si>
    <t>20170527_65</t>
  </si>
  <si>
    <t>N34</t>
  </si>
  <si>
    <t>KTLX, KFDR, KINX, KFWS</t>
  </si>
  <si>
    <t>20170527-2325</t>
  </si>
  <si>
    <t>20170528-0205</t>
  </si>
  <si>
    <t>20170528-0044</t>
  </si>
  <si>
    <t>20170528_66</t>
  </si>
  <si>
    <t>T33</t>
  </si>
  <si>
    <t>KINX, KFWS, KFDR, KTLX</t>
  </si>
  <si>
    <t>20170528-0250</t>
  </si>
  <si>
    <t>20170528-0320</t>
  </si>
  <si>
    <t>20170528-0317</t>
  </si>
  <si>
    <t>20170528-0318</t>
  </si>
  <si>
    <t>20170601_67</t>
  </si>
  <si>
    <t>N35</t>
  </si>
  <si>
    <t>KICT, KGLD, KUEX, KDDC</t>
  </si>
  <si>
    <t>20170601-0005</t>
  </si>
  <si>
    <t>20170601-0147</t>
  </si>
  <si>
    <t>20170601-0044</t>
  </si>
  <si>
    <t>20170609_68</t>
  </si>
  <si>
    <t>N36</t>
  </si>
  <si>
    <t>KMBX, KBIS, KABR, KMVX</t>
  </si>
  <si>
    <t>20170609-2230</t>
  </si>
  <si>
    <t>20170610-0017</t>
  </si>
  <si>
    <t>KMBX</t>
  </si>
  <si>
    <t>20170610-0005</t>
  </si>
  <si>
    <t>20170612_69</t>
  </si>
  <si>
    <t>T34</t>
  </si>
  <si>
    <t>KCYS, KGLD, KFTG, KPUX</t>
  </si>
  <si>
    <t>20170612-2120</t>
  </si>
  <si>
    <t>20170612-2255</t>
  </si>
  <si>
    <t>20170612-2240</t>
  </si>
  <si>
    <t>20170612-2244</t>
  </si>
  <si>
    <t>20170612_70</t>
  </si>
  <si>
    <t>T35</t>
  </si>
  <si>
    <t>KGLD, KUDX, KFTG, KLNX</t>
  </si>
  <si>
    <t>20170612-2314</t>
  </si>
  <si>
    <t>20170613-0200</t>
  </si>
  <si>
    <t>20170613-0001</t>
  </si>
  <si>
    <t>20170613-0008</t>
  </si>
  <si>
    <t>20170612_71</t>
  </si>
  <si>
    <t>T36</t>
  </si>
  <si>
    <t>20170613-0030</t>
  </si>
  <si>
    <t>20170613-0040</t>
  </si>
  <si>
    <t>20170613_72</t>
  </si>
  <si>
    <t>N37</t>
  </si>
  <si>
    <t>KDDC, KAMA, KFDR, KVNX</t>
  </si>
  <si>
    <t>20170613-2228</t>
  </si>
  <si>
    <t>20170614-0130</t>
  </si>
  <si>
    <t>20170613-2320</t>
  </si>
  <si>
    <t>20240427_73</t>
  </si>
  <si>
    <t>N38</t>
  </si>
  <si>
    <t>KFDR, KVNX, KTLX, KAMA</t>
  </si>
  <si>
    <t>20240427-1815</t>
  </si>
  <si>
    <t>20240427-1926</t>
  </si>
  <si>
    <t>20240427_74</t>
  </si>
  <si>
    <t>N39</t>
  </si>
  <si>
    <t>KFWS, KFDR, KDYX, KTLX</t>
  </si>
  <si>
    <t>20240427-2027</t>
  </si>
  <si>
    <t>20240427-2129</t>
  </si>
  <si>
    <t>20240427-2101</t>
  </si>
  <si>
    <t>20240427_75</t>
  </si>
  <si>
    <t>N40</t>
  </si>
  <si>
    <t>20240427-2140</t>
  </si>
  <si>
    <t>20240427-2240</t>
  </si>
  <si>
    <t>20240427-2227</t>
  </si>
  <si>
    <t>20240427_76</t>
  </si>
  <si>
    <t>T37</t>
  </si>
  <si>
    <t>KDYX, KTLX, KFWS, KFDR</t>
  </si>
  <si>
    <t>20240428-0038</t>
  </si>
  <si>
    <t>20240427-2343</t>
  </si>
  <si>
    <t>20240427-2356</t>
  </si>
  <si>
    <t>20240430_77</t>
  </si>
  <si>
    <t>N41</t>
  </si>
  <si>
    <t>KTWX, KICT, KVNX, KINX</t>
  </si>
  <si>
    <t>20240430-2330</t>
  </si>
  <si>
    <t>20240501-0010</t>
  </si>
  <si>
    <t>20240430-2340</t>
  </si>
  <si>
    <t>20240506_78</t>
  </si>
  <si>
    <t>T38</t>
  </si>
  <si>
    <t>20240506-2233</t>
  </si>
  <si>
    <t>20240506-2350</t>
  </si>
  <si>
    <t>20240506-2341</t>
  </si>
  <si>
    <t>20240506-0100</t>
  </si>
  <si>
    <t>20240506_79</t>
  </si>
  <si>
    <t>N42</t>
  </si>
  <si>
    <t>KTLX, KFDR, KVNX, KICT</t>
  </si>
  <si>
    <t>20240506-2347</t>
  </si>
  <si>
    <t>20240507-0019</t>
  </si>
  <si>
    <t>20240507-0006</t>
  </si>
  <si>
    <t>20240507_80</t>
  </si>
  <si>
    <t>N43</t>
  </si>
  <si>
    <t>KFDR, KVNX, KICT, KTLX</t>
  </si>
  <si>
    <t>20240507-0203</t>
  </si>
  <si>
    <t>20240507-0235</t>
  </si>
  <si>
    <t>20240523_81</t>
  </si>
  <si>
    <t>T39</t>
  </si>
  <si>
    <t>KFDR, KLBB, KDYX, KAMA</t>
  </si>
  <si>
    <t>20240523-2147</t>
  </si>
  <si>
    <t>20240524-0225</t>
  </si>
  <si>
    <t>20240524-0004</t>
  </si>
  <si>
    <t>20240524-0057</t>
  </si>
  <si>
    <t>20240519_82</t>
  </si>
  <si>
    <t>T40</t>
  </si>
  <si>
    <t>KAMA, KTLX, KVNX, KFDR</t>
  </si>
  <si>
    <t>20240519-2305</t>
  </si>
  <si>
    <t>20240520-0238</t>
  </si>
  <si>
    <t>20240520-0028</t>
  </si>
  <si>
    <t>20240520-0044</t>
  </si>
  <si>
    <t>20240525_83</t>
  </si>
  <si>
    <t>T41</t>
  </si>
  <si>
    <t>KVNX, KFDR, KDDC, KTLX</t>
  </si>
  <si>
    <t>20240525-2237</t>
  </si>
  <si>
    <t>20240526-0027</t>
  </si>
  <si>
    <t>20240525-2314</t>
  </si>
  <si>
    <t>20240525-2320</t>
  </si>
  <si>
    <t>20240526_84</t>
  </si>
  <si>
    <t>N44</t>
  </si>
  <si>
    <t>KINX, KVNX, KICT, KTLX</t>
  </si>
  <si>
    <t>20240526-0039</t>
  </si>
  <si>
    <t>20240526-0157</t>
  </si>
  <si>
    <t>20240526-0053</t>
  </si>
  <si>
    <t>20240530_85</t>
  </si>
  <si>
    <t>N45</t>
  </si>
  <si>
    <t>20240530-2244</t>
  </si>
  <si>
    <t>20240531-0047</t>
  </si>
  <si>
    <t>20240530-2320</t>
  </si>
  <si>
    <t>20240531_86</t>
  </si>
  <si>
    <t>N46</t>
  </si>
  <si>
    <t>KFDX, KLBB, KMAF, KSJT</t>
  </si>
  <si>
    <t>20240531-0053</t>
  </si>
  <si>
    <t>20240531-0155</t>
  </si>
  <si>
    <t>20240531-0059</t>
  </si>
  <si>
    <t>20240531_87</t>
  </si>
  <si>
    <t>N47</t>
  </si>
  <si>
    <t>20240531-0205</t>
  </si>
  <si>
    <t>20240531-0231</t>
  </si>
  <si>
    <t>20240531-0216</t>
  </si>
  <si>
    <t>20240616_88</t>
  </si>
  <si>
    <t>N48</t>
  </si>
  <si>
    <t>KUEX, KGLD, KLNX, KDDC</t>
  </si>
  <si>
    <t>20240616-2332</t>
  </si>
  <si>
    <t>20240617-0215</t>
  </si>
  <si>
    <t>20240617-0051</t>
  </si>
  <si>
    <t>20250404_89</t>
  </si>
  <si>
    <t>N49</t>
  </si>
  <si>
    <t>KTLX, KSHV, KSRX, KFWS</t>
  </si>
  <si>
    <t>20250404-1953</t>
  </si>
  <si>
    <t>20250404-2042</t>
  </si>
  <si>
    <t>20250404_90</t>
  </si>
  <si>
    <t>T42</t>
  </si>
  <si>
    <t>KPOE, KSHV, KFWS, KSRX</t>
  </si>
  <si>
    <t>20250404-2121</t>
  </si>
  <si>
    <t>20250404-2247</t>
  </si>
  <si>
    <t>KSHV</t>
  </si>
  <si>
    <t>20250404-2124</t>
  </si>
  <si>
    <t>20250404-2201</t>
  </si>
  <si>
    <t>20250424_91</t>
  </si>
  <si>
    <t>T43</t>
  </si>
  <si>
    <t>KLBB, KFDR, KFDX, KAMA</t>
  </si>
  <si>
    <t>20250424-2233</t>
  </si>
  <si>
    <t>20250424-2345</t>
  </si>
  <si>
    <t>20250424-2310</t>
  </si>
  <si>
    <t>20250424-2316</t>
  </si>
  <si>
    <t>20250424_92</t>
  </si>
  <si>
    <t>T44</t>
  </si>
  <si>
    <t>KAMA, KFDX, KFDR, KLBB</t>
  </si>
  <si>
    <t>20250424-2346</t>
  </si>
  <si>
    <t>20250425-0040</t>
  </si>
  <si>
    <t>20250425-0010</t>
  </si>
  <si>
    <t>20250425-0038</t>
  </si>
  <si>
    <t>20250424_93</t>
  </si>
  <si>
    <t>T45</t>
  </si>
  <si>
    <t>20250425-0041</t>
  </si>
  <si>
    <t>20250425-0130</t>
  </si>
  <si>
    <t>20250425-0101</t>
  </si>
  <si>
    <t>20250425-0106</t>
  </si>
  <si>
    <t>20250425_94</t>
  </si>
  <si>
    <t>T46</t>
  </si>
  <si>
    <t>20250425-1954</t>
  </si>
  <si>
    <t>20250426-0140</t>
  </si>
  <si>
    <t>20250425-2056</t>
  </si>
  <si>
    <t>20250425-2124</t>
  </si>
  <si>
    <t>20250428_95</t>
  </si>
  <si>
    <t>N50</t>
  </si>
  <si>
    <t>KTLX, KDYX, KAMA, KFDR</t>
  </si>
  <si>
    <t>20250428-2330</t>
  </si>
  <si>
    <t>20250429-0015</t>
  </si>
  <si>
    <t>20250429-0008</t>
  </si>
  <si>
    <t>20250429_96</t>
  </si>
  <si>
    <t>N51</t>
  </si>
  <si>
    <t>KFDR, KTLX, KDYX, KAMA</t>
  </si>
  <si>
    <t>20250429-0119</t>
  </si>
  <si>
    <t>20250429-0220</t>
  </si>
  <si>
    <t>20250429-0210</t>
  </si>
  <si>
    <t>20250429_97</t>
  </si>
  <si>
    <t>T47</t>
  </si>
  <si>
    <t>KDYX, KFWS, KLBB, KFDR</t>
  </si>
  <si>
    <t>20250429-2103</t>
  </si>
  <si>
    <t>20250430-0040</t>
  </si>
  <si>
    <t>20250429-2322</t>
  </si>
  <si>
    <t>20250429-2347</t>
  </si>
  <si>
    <t>20250505_98</t>
  </si>
  <si>
    <t>N52</t>
  </si>
  <si>
    <t>KFDX, KLBB, KSJT, KMAF</t>
  </si>
  <si>
    <t>20250505-2158</t>
  </si>
  <si>
    <t>20250506-0134</t>
  </si>
  <si>
    <t>20250505-2313</t>
  </si>
  <si>
    <t>20250518_99</t>
  </si>
  <si>
    <t>T48</t>
  </si>
  <si>
    <t>KAMA, KDDC, KVNX, KFDR</t>
  </si>
  <si>
    <t>20250518-2221</t>
  </si>
  <si>
    <t>20250519-0024</t>
  </si>
  <si>
    <t>20250518-2241</t>
  </si>
  <si>
    <t>20250518-2256</t>
  </si>
  <si>
    <t>EF3</t>
  </si>
  <si>
    <t>20250519_100</t>
  </si>
  <si>
    <t>N53</t>
  </si>
  <si>
    <t>20250519-1921</t>
  </si>
  <si>
    <t>20250519-2039</t>
  </si>
  <si>
    <t>20250519-1944</t>
  </si>
  <si>
    <t>20250519_101</t>
  </si>
  <si>
    <t>N54</t>
  </si>
  <si>
    <t>20250519-2045</t>
  </si>
  <si>
    <t>20250519-2149</t>
  </si>
  <si>
    <t>20250519-2148</t>
  </si>
  <si>
    <t>20250519_102</t>
  </si>
  <si>
    <t>N55</t>
  </si>
  <si>
    <t>20250519-2215</t>
  </si>
  <si>
    <t>20250519-2345</t>
  </si>
  <si>
    <t>20250519-2258</t>
  </si>
  <si>
    <t>20250605_103</t>
  </si>
  <si>
    <t>T49</t>
  </si>
  <si>
    <t>20250605-2050</t>
  </si>
  <si>
    <t>20250606-0150</t>
  </si>
  <si>
    <t>20250605-2230</t>
  </si>
  <si>
    <t>20250605-2250</t>
  </si>
  <si>
    <t>20250608_104</t>
  </si>
  <si>
    <t>N56</t>
  </si>
  <si>
    <t>KFDX, KLBB, KFDR, KAMA</t>
  </si>
  <si>
    <t>20250608-2015</t>
  </si>
  <si>
    <t>20250609-0000</t>
  </si>
  <si>
    <t>20250608-2147</t>
  </si>
  <si>
    <t>20260517_105</t>
  </si>
  <si>
    <t>T50</t>
  </si>
  <si>
    <t>KUEX, KOAX, KLNX, KTWX</t>
  </si>
  <si>
    <t>20260517-2140</t>
  </si>
  <si>
    <t>20260517-2250</t>
  </si>
  <si>
    <t>20260517-2204</t>
  </si>
  <si>
    <t>20260517-2215</t>
  </si>
  <si>
    <t>20260608_106</t>
  </si>
  <si>
    <t>N57</t>
  </si>
  <si>
    <t>KUEX,KTWX,KICT,KDDC</t>
  </si>
  <si>
    <t>20260608-2248</t>
  </si>
  <si>
    <t>20260609-0043</t>
  </si>
  <si>
    <t>20260609-0002</t>
  </si>
  <si>
    <t>20260426_107</t>
  </si>
  <si>
    <t>T51</t>
  </si>
  <si>
    <t>20260427-0012</t>
  </si>
  <si>
    <t>20260427-0216</t>
  </si>
  <si>
    <t>KINX</t>
  </si>
  <si>
    <t>20260427-0158</t>
  </si>
  <si>
    <t>20260427-0200</t>
  </si>
  <si>
    <t>20260610_108</t>
  </si>
  <si>
    <t>T52</t>
  </si>
  <si>
    <t>KTWX, KICT, KUEX, KEAX</t>
  </si>
  <si>
    <t>20260610-2320</t>
  </si>
  <si>
    <t>20260611-0144</t>
  </si>
  <si>
    <t>KTWX</t>
  </si>
  <si>
    <t>20260611-0118</t>
  </si>
  <si>
    <t>20260611-0120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</si>
</sst>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6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sz val="9.0"/>
      <color rgb="FF333333"/>
      <name val="&quot;Avenir Ligh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  <xf borderId="1" fillId="0" fontId="3" numFmtId="0" xfId="0" applyBorder="1" applyFont="1"/>
    <xf borderId="1" fillId="0" fontId="3" numFmtId="0" xfId="0" applyAlignment="1" applyBorder="1" applyFont="1">
      <alignment horizontal="right"/>
    </xf>
    <xf borderId="1" fillId="0" fontId="3" numFmtId="164" xfId="0" applyAlignment="1" applyBorder="1" applyFont="1" applyNumberFormat="1">
      <alignment horizontal="right"/>
    </xf>
    <xf borderId="0" fillId="0" fontId="1" numFmtId="0" xfId="0" applyAlignment="1" applyFont="1">
      <alignment horizontal="right" vertical="bottom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2.25"/>
    <col customWidth="1" min="4" max="4" width="14.0"/>
    <col customWidth="1" min="5" max="5" width="13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75" customHeight="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K2" s="1">
        <v>33.347</v>
      </c>
      <c r="L2" s="1">
        <v>-97.532</v>
      </c>
      <c r="Q2" s="2">
        <v>0.0115530472248792</v>
      </c>
    </row>
    <row r="3" ht="15.75" customHeight="1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27</v>
      </c>
      <c r="H3" s="1" t="s">
        <v>36</v>
      </c>
      <c r="I3" s="1" t="s">
        <v>37</v>
      </c>
      <c r="K3" s="1">
        <v>41.362</v>
      </c>
      <c r="L3" s="1">
        <v>-104.438</v>
      </c>
      <c r="Q3" s="2">
        <v>0.017117066308856</v>
      </c>
    </row>
    <row r="4" ht="15.75" customHeight="1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35</v>
      </c>
      <c r="G4" s="1" t="s">
        <v>27</v>
      </c>
      <c r="H4" s="1" t="s">
        <v>43</v>
      </c>
      <c r="I4" s="1" t="s">
        <v>44</v>
      </c>
      <c r="K4" s="1">
        <v>41.487</v>
      </c>
      <c r="L4" s="1">
        <v>-102.93</v>
      </c>
      <c r="Q4" s="2">
        <v>0.0124585544690489</v>
      </c>
    </row>
    <row r="5" ht="15.75" customHeight="1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35</v>
      </c>
      <c r="G5" s="1" t="s">
        <v>50</v>
      </c>
      <c r="H5" s="1" t="s">
        <v>43</v>
      </c>
      <c r="I5" s="1" t="s">
        <v>51</v>
      </c>
      <c r="J5" s="1" t="s">
        <v>52</v>
      </c>
      <c r="K5" s="1">
        <v>41.63</v>
      </c>
      <c r="L5" s="1">
        <v>-104.383</v>
      </c>
      <c r="M5" s="1">
        <v>41.6134</v>
      </c>
      <c r="N5" s="1">
        <v>-104.2237</v>
      </c>
      <c r="O5" s="1">
        <v>29.0</v>
      </c>
      <c r="P5" s="1" t="s">
        <v>53</v>
      </c>
      <c r="Q5" s="2">
        <v>0.0233309511095285</v>
      </c>
      <c r="R5" s="1">
        <f>T5*1.609344</f>
        <v>13.37364864</v>
      </c>
      <c r="S5" s="1">
        <f>U5*0.9144</f>
        <v>91.44</v>
      </c>
      <c r="T5" s="1">
        <v>8.31</v>
      </c>
      <c r="U5" s="1">
        <v>100.0</v>
      </c>
    </row>
    <row r="6" ht="15.75" customHeight="1">
      <c r="A6" s="1" t="s">
        <v>54</v>
      </c>
      <c r="B6" s="1" t="s">
        <v>55</v>
      </c>
      <c r="C6" s="1" t="s">
        <v>56</v>
      </c>
      <c r="D6" s="1" t="s">
        <v>48</v>
      </c>
      <c r="E6" s="1" t="s">
        <v>49</v>
      </c>
      <c r="F6" s="1" t="s">
        <v>35</v>
      </c>
      <c r="G6" s="1" t="s">
        <v>27</v>
      </c>
      <c r="H6" s="1" t="s">
        <v>43</v>
      </c>
      <c r="I6" s="1" t="s">
        <v>57</v>
      </c>
      <c r="J6" s="1"/>
      <c r="K6" s="1">
        <v>41.63</v>
      </c>
      <c r="L6" s="1">
        <v>-104.383</v>
      </c>
      <c r="Q6" s="2">
        <v>0.0152379795908927</v>
      </c>
    </row>
    <row r="7" ht="15.75" customHeight="1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50</v>
      </c>
      <c r="H7" s="1" t="s">
        <v>28</v>
      </c>
      <c r="I7" s="1" t="s">
        <v>64</v>
      </c>
      <c r="J7" s="1" t="s">
        <v>65</v>
      </c>
      <c r="K7" s="1">
        <v>39.867</v>
      </c>
      <c r="L7" s="1">
        <v>-94.432</v>
      </c>
      <c r="M7" s="1">
        <v>39.867</v>
      </c>
      <c r="N7" s="1">
        <v>-94.432</v>
      </c>
      <c r="O7" s="1">
        <v>1.0</v>
      </c>
      <c r="P7" s="1" t="s">
        <v>66</v>
      </c>
      <c r="Q7" s="2">
        <v>0.0128297507762908</v>
      </c>
      <c r="R7" s="1">
        <f t="shared" ref="R7:R12" si="1">T7*1.609344</f>
        <v>0.1609344</v>
      </c>
      <c r="S7" s="1">
        <f t="shared" ref="S7:S11" si="2">U7*0.9144</f>
        <v>22.86</v>
      </c>
      <c r="T7" s="1">
        <v>0.1</v>
      </c>
      <c r="U7" s="1">
        <v>25.0</v>
      </c>
    </row>
    <row r="8" ht="15.75" customHeight="1">
      <c r="A8" s="1" t="s">
        <v>67</v>
      </c>
      <c r="B8" s="1" t="s">
        <v>68</v>
      </c>
      <c r="C8" s="1" t="s">
        <v>69</v>
      </c>
      <c r="D8" s="1" t="s">
        <v>70</v>
      </c>
      <c r="E8" s="1" t="s">
        <v>71</v>
      </c>
      <c r="F8" s="1" t="s">
        <v>72</v>
      </c>
      <c r="G8" s="1" t="s">
        <v>50</v>
      </c>
      <c r="H8" s="1" t="s">
        <v>43</v>
      </c>
      <c r="I8" s="1" t="s">
        <v>73</v>
      </c>
      <c r="J8" s="1" t="s">
        <v>74</v>
      </c>
      <c r="K8" s="1">
        <v>37.6482</v>
      </c>
      <c r="L8" s="1">
        <v>-99.4191</v>
      </c>
      <c r="M8" s="1">
        <v>37.6474</v>
      </c>
      <c r="N8" s="1">
        <v>-99.4086</v>
      </c>
      <c r="O8" s="1">
        <v>1.0</v>
      </c>
      <c r="P8" s="1" t="s">
        <v>66</v>
      </c>
      <c r="Q8" s="2">
        <v>0.0227126237004995</v>
      </c>
      <c r="R8" s="1">
        <f t="shared" si="1"/>
        <v>0.93341952</v>
      </c>
      <c r="S8" s="1">
        <f t="shared" si="2"/>
        <v>45.72</v>
      </c>
      <c r="T8" s="1">
        <v>0.58</v>
      </c>
      <c r="U8" s="1">
        <v>50.0</v>
      </c>
    </row>
    <row r="9" ht="15.75" customHeight="1">
      <c r="A9" s="1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50</v>
      </c>
      <c r="H9" s="1" t="s">
        <v>43</v>
      </c>
      <c r="I9" s="1" t="s">
        <v>81</v>
      </c>
      <c r="J9" s="1" t="s">
        <v>82</v>
      </c>
      <c r="K9" s="1">
        <v>38.0869</v>
      </c>
      <c r="L9" s="1">
        <v>-103.893</v>
      </c>
      <c r="M9" s="1">
        <v>38.0805</v>
      </c>
      <c r="N9" s="1">
        <v>-103.8754</v>
      </c>
      <c r="O9" s="1">
        <v>2.0</v>
      </c>
      <c r="P9" s="1" t="s">
        <v>66</v>
      </c>
      <c r="Q9" s="2">
        <v>0.0167832449078559</v>
      </c>
      <c r="R9" s="1">
        <f t="shared" si="1"/>
        <v>1.7702784</v>
      </c>
      <c r="S9" s="1">
        <f t="shared" si="2"/>
        <v>45.72</v>
      </c>
      <c r="T9" s="1">
        <v>1.1</v>
      </c>
      <c r="U9" s="1">
        <v>50.0</v>
      </c>
    </row>
    <row r="10" ht="15.75" customHeight="1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87</v>
      </c>
      <c r="F10" s="1" t="s">
        <v>88</v>
      </c>
      <c r="G10" s="1" t="s">
        <v>50</v>
      </c>
      <c r="H10" s="1" t="s">
        <v>28</v>
      </c>
      <c r="I10" s="1" t="s">
        <v>89</v>
      </c>
      <c r="J10" s="1" t="s">
        <v>90</v>
      </c>
      <c r="K10" s="1">
        <v>35.34</v>
      </c>
      <c r="L10" s="1">
        <v>-96.301</v>
      </c>
      <c r="M10" s="1">
        <v>35.46</v>
      </c>
      <c r="N10" s="1">
        <v>-96.13</v>
      </c>
      <c r="O10" s="1">
        <v>25.0</v>
      </c>
      <c r="P10" s="1" t="s">
        <v>91</v>
      </c>
      <c r="Q10" s="2">
        <v>0.0565920136868953</v>
      </c>
      <c r="R10" s="1">
        <f t="shared" si="1"/>
        <v>22.530816</v>
      </c>
      <c r="S10" s="1">
        <f t="shared" si="2"/>
        <v>914.4</v>
      </c>
      <c r="T10" s="1">
        <v>14.0</v>
      </c>
      <c r="U10" s="1">
        <v>1000.0</v>
      </c>
    </row>
    <row r="11" ht="15.75" customHeight="1">
      <c r="A11" s="1" t="s">
        <v>92</v>
      </c>
      <c r="B11" s="1" t="s">
        <v>93</v>
      </c>
      <c r="C11" s="1" t="s">
        <v>94</v>
      </c>
      <c r="D11" s="1" t="s">
        <v>95</v>
      </c>
      <c r="E11" s="1" t="s">
        <v>96</v>
      </c>
      <c r="F11" s="1" t="s">
        <v>97</v>
      </c>
      <c r="G11" s="1" t="s">
        <v>50</v>
      </c>
      <c r="H11" s="1" t="s">
        <v>43</v>
      </c>
      <c r="I11" s="3" t="s">
        <v>98</v>
      </c>
      <c r="J11" s="3" t="s">
        <v>99</v>
      </c>
      <c r="K11" s="4">
        <v>40.7</v>
      </c>
      <c r="L11" s="4">
        <v>-100.19</v>
      </c>
      <c r="M11" s="4">
        <v>40.76</v>
      </c>
      <c r="N11" s="4">
        <v>-100.16</v>
      </c>
      <c r="O11" s="4">
        <v>18.0</v>
      </c>
      <c r="P11" s="3" t="s">
        <v>91</v>
      </c>
      <c r="Q11" s="5">
        <v>0.0174478162080049</v>
      </c>
      <c r="R11" s="1">
        <f t="shared" si="1"/>
        <v>7.242048</v>
      </c>
      <c r="S11" s="1">
        <f t="shared" si="2"/>
        <v>365.76</v>
      </c>
      <c r="T11" s="4">
        <v>4.5</v>
      </c>
      <c r="U11" s="4">
        <v>400.0</v>
      </c>
    </row>
    <row r="12" ht="15.75" customHeight="1">
      <c r="A12" s="1" t="s">
        <v>100</v>
      </c>
      <c r="B12" s="1" t="s">
        <v>101</v>
      </c>
      <c r="C12" s="1" t="s">
        <v>102</v>
      </c>
      <c r="D12" s="1" t="s">
        <v>103</v>
      </c>
      <c r="E12" s="1" t="s">
        <v>104</v>
      </c>
      <c r="F12" s="1" t="s">
        <v>105</v>
      </c>
      <c r="G12" s="1" t="s">
        <v>50</v>
      </c>
      <c r="H12" s="1" t="s">
        <v>28</v>
      </c>
      <c r="I12" s="1" t="s">
        <v>106</v>
      </c>
      <c r="J12" s="1" t="s">
        <v>107</v>
      </c>
      <c r="K12" s="1">
        <v>34.81</v>
      </c>
      <c r="L12" s="1">
        <v>-99.615</v>
      </c>
      <c r="M12" s="1">
        <v>34.93</v>
      </c>
      <c r="N12" s="1">
        <v>-99.49</v>
      </c>
      <c r="O12" s="1">
        <v>17.0</v>
      </c>
      <c r="P12" s="1" t="s">
        <v>53</v>
      </c>
      <c r="Q12" s="2">
        <v>0.0355286113917827</v>
      </c>
      <c r="R12" s="1">
        <f t="shared" si="1"/>
        <v>17.702784</v>
      </c>
      <c r="T12" s="1">
        <v>11.0</v>
      </c>
    </row>
    <row r="13" ht="15.75" customHeight="1">
      <c r="A13" s="1" t="s">
        <v>108</v>
      </c>
      <c r="B13" s="1" t="s">
        <v>109</v>
      </c>
      <c r="C13" s="1" t="s">
        <v>110</v>
      </c>
      <c r="D13" s="1" t="s">
        <v>111</v>
      </c>
      <c r="E13" s="1" t="s">
        <v>112</v>
      </c>
      <c r="F13" s="1" t="s">
        <v>113</v>
      </c>
      <c r="G13" s="1" t="s">
        <v>27</v>
      </c>
      <c r="H13" s="1" t="s">
        <v>28</v>
      </c>
      <c r="I13" s="1" t="s">
        <v>114</v>
      </c>
      <c r="K13" s="1">
        <v>33.95</v>
      </c>
      <c r="L13" s="1">
        <v>-100.853</v>
      </c>
      <c r="Q13" s="2">
        <v>0.0270204432308673</v>
      </c>
    </row>
    <row r="14" ht="15.75" customHeight="1">
      <c r="A14" s="1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80</v>
      </c>
      <c r="G14" s="1" t="s">
        <v>50</v>
      </c>
      <c r="H14" s="1" t="s">
        <v>43</v>
      </c>
      <c r="I14" s="1" t="s">
        <v>120</v>
      </c>
      <c r="J14" s="1" t="s">
        <v>121</v>
      </c>
      <c r="K14" s="1">
        <v>38.4</v>
      </c>
      <c r="L14" s="1">
        <v>-102.75</v>
      </c>
      <c r="M14" s="1">
        <v>38.4</v>
      </c>
      <c r="N14" s="1">
        <v>-102.75</v>
      </c>
      <c r="P14" s="1" t="s">
        <v>122</v>
      </c>
      <c r="Q14" s="2">
        <v>0.015394601970911</v>
      </c>
      <c r="R14" s="1">
        <f>T14*1.609344</f>
        <v>0.4828032</v>
      </c>
      <c r="S14" s="1">
        <f t="shared" ref="S14:S15" si="3">U14*0.9144</f>
        <v>18.288</v>
      </c>
      <c r="T14" s="1">
        <v>0.3</v>
      </c>
      <c r="U14" s="1">
        <v>20.0</v>
      </c>
    </row>
    <row r="15" ht="15.75" customHeight="1">
      <c r="A15" s="1" t="s">
        <v>123</v>
      </c>
      <c r="B15" s="1" t="s">
        <v>124</v>
      </c>
      <c r="C15" s="1" t="s">
        <v>125</v>
      </c>
      <c r="D15" s="1" t="s">
        <v>126</v>
      </c>
      <c r="E15" s="1" t="s">
        <v>127</v>
      </c>
      <c r="F15" s="1" t="s">
        <v>97</v>
      </c>
      <c r="G15" s="1" t="s">
        <v>50</v>
      </c>
      <c r="H15" s="1" t="s">
        <v>43</v>
      </c>
      <c r="I15" s="1" t="s">
        <v>128</v>
      </c>
      <c r="J15" s="1" t="s">
        <v>128</v>
      </c>
      <c r="K15" s="1">
        <v>40.36</v>
      </c>
      <c r="L15" s="1">
        <v>-102.63</v>
      </c>
      <c r="M15" s="1">
        <v>40.36</v>
      </c>
      <c r="N15" s="1">
        <v>-102.63</v>
      </c>
      <c r="O15" s="1">
        <v>0.0</v>
      </c>
      <c r="P15" s="1" t="s">
        <v>122</v>
      </c>
      <c r="Q15" s="2">
        <v>0.0125776818022131</v>
      </c>
      <c r="S15" s="1">
        <f t="shared" si="3"/>
        <v>9.144</v>
      </c>
      <c r="T15" s="1">
        <v>0.0</v>
      </c>
      <c r="U15" s="1">
        <v>10.0</v>
      </c>
    </row>
    <row r="16" ht="15.75" customHeight="1">
      <c r="A16" s="1" t="s">
        <v>129</v>
      </c>
      <c r="B16" s="1" t="s">
        <v>130</v>
      </c>
      <c r="C16" s="1" t="s">
        <v>131</v>
      </c>
      <c r="D16" s="1" t="s">
        <v>132</v>
      </c>
      <c r="E16" s="1" t="s">
        <v>133</v>
      </c>
      <c r="F16" s="1" t="s">
        <v>134</v>
      </c>
      <c r="G16" s="1" t="s">
        <v>27</v>
      </c>
      <c r="H16" s="1" t="s">
        <v>43</v>
      </c>
      <c r="I16" s="1" t="s">
        <v>135</v>
      </c>
      <c r="K16" s="1">
        <v>39.439</v>
      </c>
      <c r="L16" s="1">
        <v>-98.505</v>
      </c>
      <c r="Q16" s="2">
        <v>0.0302689839154481</v>
      </c>
    </row>
    <row r="17" ht="15.75" customHeight="1">
      <c r="A17" s="1" t="s">
        <v>136</v>
      </c>
      <c r="B17" s="1" t="s">
        <v>137</v>
      </c>
      <c r="C17" s="1" t="s">
        <v>131</v>
      </c>
      <c r="D17" s="1" t="s">
        <v>138</v>
      </c>
      <c r="E17" s="1" t="s">
        <v>139</v>
      </c>
      <c r="F17" s="1" t="s">
        <v>134</v>
      </c>
      <c r="G17" s="1" t="s">
        <v>50</v>
      </c>
      <c r="H17" s="1" t="s">
        <v>43</v>
      </c>
      <c r="I17" s="1" t="s">
        <v>140</v>
      </c>
      <c r="J17" s="1" t="s">
        <v>141</v>
      </c>
      <c r="K17" s="6">
        <v>39.11</v>
      </c>
      <c r="L17" s="6">
        <v>-98.85</v>
      </c>
      <c r="M17" s="6">
        <v>39.3</v>
      </c>
      <c r="N17" s="6">
        <v>-98.47</v>
      </c>
      <c r="O17" s="1">
        <v>43.0</v>
      </c>
      <c r="P17" s="1" t="s">
        <v>53</v>
      </c>
      <c r="Q17" s="2">
        <v>0.0205746404826641</v>
      </c>
      <c r="R17" s="1">
        <f t="shared" ref="R17:R18" si="4">T17*1.609344</f>
        <v>39.2679936</v>
      </c>
      <c r="S17" s="1">
        <f t="shared" ref="S17:S18" si="5">U17*0.9144</f>
        <v>804.672</v>
      </c>
      <c r="T17" s="1">
        <v>24.4</v>
      </c>
      <c r="U17" s="1">
        <v>880.0</v>
      </c>
    </row>
    <row r="18" ht="15.75" customHeight="1">
      <c r="A18" s="1" t="s">
        <v>142</v>
      </c>
      <c r="B18" s="1" t="s">
        <v>143</v>
      </c>
      <c r="C18" s="1" t="s">
        <v>144</v>
      </c>
      <c r="D18" s="1" t="s">
        <v>145</v>
      </c>
      <c r="E18" s="1" t="s">
        <v>146</v>
      </c>
      <c r="F18" s="1" t="s">
        <v>97</v>
      </c>
      <c r="G18" s="1" t="s">
        <v>50</v>
      </c>
      <c r="H18" s="1" t="s">
        <v>28</v>
      </c>
      <c r="I18" s="1" t="s">
        <v>147</v>
      </c>
      <c r="J18" s="1" t="s">
        <v>148</v>
      </c>
      <c r="K18" s="1">
        <v>39.08</v>
      </c>
      <c r="L18" s="1">
        <v>-101.27</v>
      </c>
      <c r="M18" s="1">
        <v>39.05</v>
      </c>
      <c r="N18" s="1">
        <v>-101.25</v>
      </c>
      <c r="O18" s="1">
        <v>16.0</v>
      </c>
      <c r="P18" s="1" t="s">
        <v>122</v>
      </c>
      <c r="Q18" s="7">
        <v>0.02515759319067</v>
      </c>
      <c r="R18" s="1">
        <f t="shared" si="4"/>
        <v>4.6670976</v>
      </c>
      <c r="S18" s="1">
        <f t="shared" si="5"/>
        <v>91.44</v>
      </c>
      <c r="T18" s="1">
        <v>2.9</v>
      </c>
      <c r="U18" s="1">
        <v>100.0</v>
      </c>
    </row>
    <row r="19" ht="15.75" customHeight="1">
      <c r="A19" s="1" t="s">
        <v>149</v>
      </c>
      <c r="B19" s="1" t="s">
        <v>150</v>
      </c>
      <c r="C19" s="1" t="s">
        <v>151</v>
      </c>
      <c r="D19" s="1" t="s">
        <v>152</v>
      </c>
      <c r="E19" s="1" t="s">
        <v>153</v>
      </c>
      <c r="F19" s="1" t="s">
        <v>154</v>
      </c>
      <c r="G19" s="1" t="s">
        <v>27</v>
      </c>
      <c r="H19" s="1" t="s">
        <v>36</v>
      </c>
      <c r="I19" s="1" t="s">
        <v>155</v>
      </c>
      <c r="K19" s="1">
        <v>34.969</v>
      </c>
      <c r="L19" s="1">
        <v>-102.773</v>
      </c>
      <c r="Q19" s="2">
        <v>0.0134287383407354</v>
      </c>
    </row>
    <row r="20" ht="15.75" customHeight="1">
      <c r="A20" s="1" t="s">
        <v>156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113</v>
      </c>
      <c r="G20" s="1" t="s">
        <v>50</v>
      </c>
      <c r="H20" s="1" t="s">
        <v>43</v>
      </c>
      <c r="I20" s="1" t="s">
        <v>161</v>
      </c>
      <c r="J20" s="1" t="s">
        <v>162</v>
      </c>
      <c r="K20" s="1">
        <v>33.8093</v>
      </c>
      <c r="L20" s="1">
        <v>-102.786</v>
      </c>
      <c r="M20" s="1">
        <v>33.825</v>
      </c>
      <c r="N20" s="1">
        <v>-102.781</v>
      </c>
      <c r="O20" s="1">
        <v>15.0</v>
      </c>
      <c r="P20" s="1" t="s">
        <v>53</v>
      </c>
      <c r="Q20" s="2">
        <v>0.0364458039402961</v>
      </c>
      <c r="R20" s="1">
        <f t="shared" ref="R20:R21" si="6">T20*1.609344</f>
        <v>4.9889664</v>
      </c>
      <c r="S20" s="1">
        <f t="shared" ref="S20:S21" si="7">U20*0.9144</f>
        <v>1280.16</v>
      </c>
      <c r="T20" s="1">
        <v>3.1</v>
      </c>
      <c r="U20" s="1">
        <v>1400.0</v>
      </c>
    </row>
    <row r="21" ht="15.75" customHeight="1">
      <c r="A21" s="8" t="s">
        <v>163</v>
      </c>
      <c r="B21" s="8" t="s">
        <v>164</v>
      </c>
      <c r="C21" s="1" t="s">
        <v>165</v>
      </c>
      <c r="D21" s="1" t="s">
        <v>166</v>
      </c>
      <c r="E21" s="1" t="s">
        <v>167</v>
      </c>
      <c r="F21" s="1" t="s">
        <v>168</v>
      </c>
      <c r="G21" s="1" t="s">
        <v>50</v>
      </c>
      <c r="H21" s="1" t="s">
        <v>28</v>
      </c>
      <c r="I21" s="1" t="s">
        <v>169</v>
      </c>
      <c r="J21" s="1" t="s">
        <v>170</v>
      </c>
      <c r="K21" s="1">
        <v>37.17</v>
      </c>
      <c r="L21" s="1">
        <v>-96.82</v>
      </c>
      <c r="M21" s="1">
        <v>37.1702</v>
      </c>
      <c r="N21" s="1">
        <v>-96.8197</v>
      </c>
      <c r="O21" s="1">
        <v>1.0</v>
      </c>
      <c r="P21" s="1" t="s">
        <v>122</v>
      </c>
      <c r="Q21" s="2">
        <v>0.0231515001505613</v>
      </c>
      <c r="R21" s="1">
        <f t="shared" si="6"/>
        <v>0.03218688</v>
      </c>
      <c r="S21" s="1">
        <f t="shared" si="7"/>
        <v>18.288</v>
      </c>
      <c r="T21" s="1">
        <v>0.02</v>
      </c>
      <c r="U21" s="1">
        <v>20.0</v>
      </c>
    </row>
    <row r="22" ht="15.75" customHeight="1">
      <c r="A22" s="8" t="s">
        <v>171</v>
      </c>
      <c r="B22" s="1" t="s">
        <v>172</v>
      </c>
      <c r="C22" s="1" t="s">
        <v>173</v>
      </c>
      <c r="D22" s="1" t="s">
        <v>174</v>
      </c>
      <c r="E22" s="1" t="s">
        <v>175</v>
      </c>
      <c r="F22" s="1" t="s">
        <v>176</v>
      </c>
      <c r="G22" s="1" t="s">
        <v>27</v>
      </c>
      <c r="H22" s="1" t="s">
        <v>43</v>
      </c>
      <c r="I22" s="1" t="s">
        <v>177</v>
      </c>
      <c r="K22" s="1">
        <v>42.81</v>
      </c>
      <c r="L22" s="1">
        <v>-101.803</v>
      </c>
      <c r="Q22" s="2">
        <v>0.0110277747735381</v>
      </c>
    </row>
    <row r="23" ht="15.75" customHeight="1">
      <c r="A23" s="8" t="s">
        <v>178</v>
      </c>
      <c r="B23" s="1" t="s">
        <v>179</v>
      </c>
      <c r="C23" s="1" t="s">
        <v>180</v>
      </c>
      <c r="D23" s="1" t="s">
        <v>181</v>
      </c>
      <c r="E23" s="1" t="s">
        <v>182</v>
      </c>
      <c r="F23" s="1" t="s">
        <v>183</v>
      </c>
      <c r="G23" s="1" t="s">
        <v>27</v>
      </c>
      <c r="H23" s="1" t="s">
        <v>36</v>
      </c>
      <c r="I23" s="1" t="s">
        <v>184</v>
      </c>
      <c r="K23" s="1">
        <v>42.82</v>
      </c>
      <c r="L23" s="1">
        <v>-102.409</v>
      </c>
      <c r="Q23" s="2">
        <v>0.0142650622874498</v>
      </c>
    </row>
    <row r="24" ht="15.75" customHeight="1">
      <c r="A24" s="8" t="s">
        <v>185</v>
      </c>
      <c r="B24" s="8" t="s">
        <v>186</v>
      </c>
      <c r="C24" s="1" t="s">
        <v>187</v>
      </c>
      <c r="D24" s="1" t="s">
        <v>188</v>
      </c>
      <c r="E24" s="1" t="s">
        <v>189</v>
      </c>
      <c r="F24" s="1" t="s">
        <v>97</v>
      </c>
      <c r="G24" s="1" t="s">
        <v>50</v>
      </c>
      <c r="H24" s="1" t="s">
        <v>43</v>
      </c>
      <c r="I24" s="1" t="s">
        <v>190</v>
      </c>
      <c r="J24" s="1" t="s">
        <v>191</v>
      </c>
      <c r="K24" s="1">
        <v>40.95</v>
      </c>
      <c r="L24" s="1">
        <v>-102.48</v>
      </c>
      <c r="M24" s="1">
        <v>40.95</v>
      </c>
      <c r="N24" s="1">
        <v>-102.48</v>
      </c>
      <c r="O24" s="1">
        <v>1.0</v>
      </c>
      <c r="P24" s="1" t="s">
        <v>122</v>
      </c>
      <c r="Q24" s="2">
        <v>0.0208733286708593</v>
      </c>
      <c r="R24" s="1">
        <f t="shared" ref="R24:R25" si="8">T24*1.609344</f>
        <v>0.01609344</v>
      </c>
      <c r="S24" s="1">
        <f t="shared" ref="S24:S25" si="9">U24*0.9144</f>
        <v>45.72</v>
      </c>
      <c r="T24" s="1">
        <v>0.01</v>
      </c>
      <c r="U24" s="1">
        <v>50.0</v>
      </c>
    </row>
    <row r="25" ht="15.75" customHeight="1">
      <c r="A25" s="8" t="s">
        <v>192</v>
      </c>
      <c r="B25" s="8" t="s">
        <v>193</v>
      </c>
      <c r="C25" s="1" t="s">
        <v>125</v>
      </c>
      <c r="D25" s="1" t="s">
        <v>194</v>
      </c>
      <c r="E25" s="1" t="s">
        <v>195</v>
      </c>
      <c r="F25" s="1" t="s">
        <v>97</v>
      </c>
      <c r="G25" s="1" t="s">
        <v>50</v>
      </c>
      <c r="H25" s="1" t="s">
        <v>43</v>
      </c>
      <c r="I25" s="1" t="s">
        <v>196</v>
      </c>
      <c r="J25" s="1" t="s">
        <v>197</v>
      </c>
      <c r="K25" s="1">
        <v>40.53</v>
      </c>
      <c r="L25" s="1">
        <v>-102.24</v>
      </c>
      <c r="M25" s="1">
        <v>40.53</v>
      </c>
      <c r="N25" s="1">
        <v>-102.24</v>
      </c>
      <c r="O25" s="1">
        <v>1.0</v>
      </c>
      <c r="P25" s="1" t="s">
        <v>122</v>
      </c>
      <c r="Q25" s="2">
        <v>0.0104295378550887</v>
      </c>
      <c r="R25" s="1">
        <f t="shared" si="8"/>
        <v>0.01609344</v>
      </c>
      <c r="S25" s="1">
        <f t="shared" si="9"/>
        <v>45.72</v>
      </c>
      <c r="T25" s="1">
        <v>0.01</v>
      </c>
      <c r="U25" s="1">
        <v>50.0</v>
      </c>
    </row>
    <row r="26" ht="15.75" customHeight="1">
      <c r="A26" s="8" t="s">
        <v>198</v>
      </c>
      <c r="B26" s="1" t="s">
        <v>199</v>
      </c>
      <c r="C26" s="1" t="s">
        <v>200</v>
      </c>
      <c r="D26" s="1" t="s">
        <v>201</v>
      </c>
      <c r="E26" s="1" t="s">
        <v>202</v>
      </c>
      <c r="F26" s="1" t="s">
        <v>176</v>
      </c>
      <c r="G26" s="1" t="s">
        <v>27</v>
      </c>
      <c r="H26" s="1" t="s">
        <v>43</v>
      </c>
      <c r="I26" s="1" t="s">
        <v>203</v>
      </c>
      <c r="K26" s="1">
        <v>41.97</v>
      </c>
      <c r="L26" s="1">
        <v>-100.731</v>
      </c>
      <c r="Q26" s="2">
        <v>0.0082589946687221</v>
      </c>
    </row>
    <row r="27" ht="15.75" customHeight="1">
      <c r="A27" s="8" t="s">
        <v>204</v>
      </c>
      <c r="B27" s="1" t="s">
        <v>205</v>
      </c>
      <c r="C27" s="1" t="s">
        <v>206</v>
      </c>
      <c r="D27" s="1" t="s">
        <v>207</v>
      </c>
      <c r="E27" s="1" t="s">
        <v>208</v>
      </c>
      <c r="F27" s="1" t="s">
        <v>176</v>
      </c>
      <c r="G27" s="1" t="s">
        <v>27</v>
      </c>
      <c r="H27" s="1" t="s">
        <v>43</v>
      </c>
      <c r="I27" s="1" t="s">
        <v>209</v>
      </c>
      <c r="K27" s="1">
        <v>41.51</v>
      </c>
      <c r="L27" s="1">
        <v>-100.172</v>
      </c>
      <c r="Q27" s="2">
        <v>0.023616787046194</v>
      </c>
    </row>
    <row r="28" ht="15.75" customHeight="1">
      <c r="A28" s="8" t="s">
        <v>210</v>
      </c>
      <c r="B28" s="1" t="s">
        <v>211</v>
      </c>
      <c r="C28" s="1" t="s">
        <v>212</v>
      </c>
      <c r="D28" s="1" t="s">
        <v>213</v>
      </c>
      <c r="E28" s="1" t="s">
        <v>214</v>
      </c>
      <c r="F28" s="1" t="s">
        <v>183</v>
      </c>
      <c r="G28" s="1" t="s">
        <v>27</v>
      </c>
      <c r="H28" s="1" t="s">
        <v>43</v>
      </c>
      <c r="I28" s="1" t="s">
        <v>215</v>
      </c>
      <c r="K28" s="1">
        <v>44.575</v>
      </c>
      <c r="L28" s="1">
        <v>-103.51</v>
      </c>
      <c r="Q28" s="2">
        <v>0.0447247363626956</v>
      </c>
    </row>
    <row r="29" ht="15.75" customHeight="1">
      <c r="A29" s="8" t="s">
        <v>216</v>
      </c>
      <c r="B29" s="1" t="s">
        <v>217</v>
      </c>
      <c r="C29" s="1" t="s">
        <v>218</v>
      </c>
      <c r="D29" s="1" t="s">
        <v>219</v>
      </c>
      <c r="E29" s="1" t="s">
        <v>220</v>
      </c>
      <c r="F29" s="1" t="s">
        <v>183</v>
      </c>
      <c r="G29" s="1" t="s">
        <v>27</v>
      </c>
      <c r="H29" s="1" t="s">
        <v>28</v>
      </c>
      <c r="I29" s="1" t="s">
        <v>221</v>
      </c>
      <c r="K29" s="1">
        <v>44.638</v>
      </c>
      <c r="L29" s="1">
        <v>-104.032</v>
      </c>
      <c r="Q29" s="2">
        <v>0.0297697912901639</v>
      </c>
    </row>
    <row r="30" ht="15.75" customHeight="1">
      <c r="A30" s="8" t="s">
        <v>222</v>
      </c>
      <c r="B30" s="1" t="s">
        <v>223</v>
      </c>
      <c r="C30" s="1" t="s">
        <v>212</v>
      </c>
      <c r="D30" s="1" t="s">
        <v>224</v>
      </c>
      <c r="E30" s="1" t="s">
        <v>225</v>
      </c>
      <c r="F30" s="1" t="s">
        <v>183</v>
      </c>
      <c r="G30" s="1" t="s">
        <v>27</v>
      </c>
      <c r="H30" s="1" t="s">
        <v>28</v>
      </c>
      <c r="I30" s="1" t="s">
        <v>226</v>
      </c>
      <c r="K30" s="1">
        <v>44.432</v>
      </c>
      <c r="L30" s="1">
        <v>-103.268</v>
      </c>
      <c r="Q30" s="2">
        <v>0.0103301955386996</v>
      </c>
    </row>
    <row r="31" ht="15.75" customHeight="1">
      <c r="A31" s="8" t="s">
        <v>227</v>
      </c>
      <c r="B31" s="1" t="s">
        <v>228</v>
      </c>
      <c r="C31" s="1" t="s">
        <v>151</v>
      </c>
      <c r="D31" s="1" t="s">
        <v>229</v>
      </c>
      <c r="E31" s="1" t="s">
        <v>230</v>
      </c>
      <c r="F31" s="1" t="s">
        <v>154</v>
      </c>
      <c r="G31" s="1" t="s">
        <v>27</v>
      </c>
      <c r="H31" s="1" t="s">
        <v>36</v>
      </c>
      <c r="I31" s="1" t="s">
        <v>231</v>
      </c>
      <c r="K31" s="1">
        <v>34.502</v>
      </c>
      <c r="L31" s="1">
        <v>-103.056</v>
      </c>
      <c r="Q31" s="2">
        <v>0.0091019598767161</v>
      </c>
    </row>
    <row r="32" ht="15.75" customHeight="1">
      <c r="A32" s="8" t="s">
        <v>232</v>
      </c>
      <c r="B32" s="8" t="s">
        <v>233</v>
      </c>
      <c r="C32" s="1" t="s">
        <v>234</v>
      </c>
      <c r="D32" s="1" t="s">
        <v>235</v>
      </c>
      <c r="E32" s="1" t="s">
        <v>236</v>
      </c>
      <c r="F32" s="1" t="s">
        <v>154</v>
      </c>
      <c r="G32" s="1" t="s">
        <v>50</v>
      </c>
      <c r="H32" s="1" t="s">
        <v>36</v>
      </c>
      <c r="I32" s="1" t="s">
        <v>237</v>
      </c>
      <c r="J32" s="1" t="s">
        <v>238</v>
      </c>
      <c r="K32" s="1">
        <v>34.347</v>
      </c>
      <c r="L32" s="1">
        <v>-103.059</v>
      </c>
      <c r="M32" s="1">
        <v>34.34</v>
      </c>
      <c r="N32" s="1">
        <v>-103.057</v>
      </c>
      <c r="O32" s="1">
        <v>4.0</v>
      </c>
      <c r="P32" s="1" t="s">
        <v>122</v>
      </c>
      <c r="Q32" s="2">
        <v>0.0084979087114334</v>
      </c>
      <c r="R32" s="1">
        <f t="shared" ref="R32:R33" si="10">T32*1.609344</f>
        <v>0.804672</v>
      </c>
      <c r="S32" s="1">
        <f>U32*0.9144</f>
        <v>18.288</v>
      </c>
      <c r="T32" s="1">
        <v>0.5</v>
      </c>
      <c r="U32" s="1">
        <v>20.0</v>
      </c>
    </row>
    <row r="33" ht="15.75" customHeight="1">
      <c r="A33" s="8" t="s">
        <v>239</v>
      </c>
      <c r="B33" s="8" t="s">
        <v>240</v>
      </c>
      <c r="C33" s="1" t="s">
        <v>241</v>
      </c>
      <c r="D33" s="1" t="s">
        <v>242</v>
      </c>
      <c r="E33" s="1" t="s">
        <v>243</v>
      </c>
      <c r="F33" s="1" t="s">
        <v>154</v>
      </c>
      <c r="G33" s="1" t="s">
        <v>50</v>
      </c>
      <c r="H33" s="1" t="s">
        <v>43</v>
      </c>
      <c r="I33" s="1" t="s">
        <v>244</v>
      </c>
      <c r="J33" s="1" t="s">
        <v>245</v>
      </c>
      <c r="K33" s="1">
        <v>34.85</v>
      </c>
      <c r="L33" s="1">
        <v>-103.26</v>
      </c>
      <c r="M33" s="1">
        <v>34.83</v>
      </c>
      <c r="N33" s="1">
        <v>-103.25</v>
      </c>
      <c r="O33" s="1">
        <v>3.0</v>
      </c>
      <c r="P33" s="1" t="s">
        <v>122</v>
      </c>
      <c r="Q33" s="2">
        <v>0.018900629132986</v>
      </c>
      <c r="R33" s="1">
        <f t="shared" si="10"/>
        <v>2.8968192</v>
      </c>
      <c r="T33" s="1">
        <v>1.8</v>
      </c>
      <c r="U33" s="1"/>
    </row>
    <row r="34" ht="15.75" customHeight="1">
      <c r="A34" s="8" t="s">
        <v>246</v>
      </c>
      <c r="B34" s="1" t="s">
        <v>247</v>
      </c>
      <c r="C34" s="1" t="s">
        <v>234</v>
      </c>
      <c r="D34" s="1" t="s">
        <v>248</v>
      </c>
      <c r="E34" s="1" t="s">
        <v>249</v>
      </c>
      <c r="F34" s="1" t="s">
        <v>154</v>
      </c>
      <c r="G34" s="1" t="s">
        <v>27</v>
      </c>
      <c r="H34" s="1" t="s">
        <v>36</v>
      </c>
      <c r="I34" s="1" t="s">
        <v>250</v>
      </c>
      <c r="K34" s="1">
        <v>34.531</v>
      </c>
      <c r="L34" s="1">
        <v>-103.163</v>
      </c>
      <c r="Q34" s="2">
        <v>0.0107761984691023</v>
      </c>
    </row>
    <row r="35" ht="15.75" customHeight="1">
      <c r="A35" s="8" t="s">
        <v>251</v>
      </c>
      <c r="B35" s="8" t="s">
        <v>252</v>
      </c>
      <c r="C35" s="1" t="s">
        <v>253</v>
      </c>
      <c r="D35" s="1" t="s">
        <v>254</v>
      </c>
      <c r="E35" s="1" t="s">
        <v>255</v>
      </c>
      <c r="F35" s="1" t="s">
        <v>113</v>
      </c>
      <c r="G35" s="1" t="s">
        <v>50</v>
      </c>
      <c r="H35" s="1" t="s">
        <v>28</v>
      </c>
      <c r="I35" s="1" t="s">
        <v>256</v>
      </c>
      <c r="J35" s="1" t="s">
        <v>257</v>
      </c>
      <c r="K35" s="1">
        <v>33.4</v>
      </c>
      <c r="L35" s="1">
        <v>-103.14</v>
      </c>
      <c r="M35" s="1">
        <v>33.4</v>
      </c>
      <c r="N35" s="1">
        <v>-103.08</v>
      </c>
      <c r="O35" s="1">
        <v>4.0</v>
      </c>
      <c r="P35" s="1" t="s">
        <v>122</v>
      </c>
      <c r="Q35" s="2">
        <v>0.016631131991744</v>
      </c>
      <c r="R35" s="1">
        <f>T35*1.609344</f>
        <v>5.632704</v>
      </c>
      <c r="S35" s="1">
        <f>U35*0.9144</f>
        <v>45.72</v>
      </c>
      <c r="T35" s="1">
        <v>3.5</v>
      </c>
      <c r="U35" s="1">
        <v>50.0</v>
      </c>
    </row>
    <row r="36" ht="15.75" customHeight="1">
      <c r="A36" s="8" t="s">
        <v>258</v>
      </c>
      <c r="B36" s="1" t="s">
        <v>259</v>
      </c>
      <c r="C36" s="1" t="s">
        <v>260</v>
      </c>
      <c r="D36" s="1" t="s">
        <v>261</v>
      </c>
      <c r="E36" s="1" t="s">
        <v>262</v>
      </c>
      <c r="F36" s="1" t="s">
        <v>263</v>
      </c>
      <c r="G36" s="1" t="s">
        <v>27</v>
      </c>
      <c r="H36" s="1" t="s">
        <v>36</v>
      </c>
      <c r="I36" s="1" t="s">
        <v>264</v>
      </c>
      <c r="K36" s="1">
        <v>32.554</v>
      </c>
      <c r="L36" s="1">
        <v>-101.083</v>
      </c>
      <c r="Q36" s="2">
        <v>0.0076321605592966</v>
      </c>
    </row>
    <row r="37" ht="15.75" customHeight="1">
      <c r="A37" s="8" t="s">
        <v>265</v>
      </c>
      <c r="B37" s="8" t="s">
        <v>266</v>
      </c>
      <c r="C37" s="1" t="s">
        <v>267</v>
      </c>
      <c r="D37" s="1" t="s">
        <v>268</v>
      </c>
      <c r="E37" s="1" t="s">
        <v>269</v>
      </c>
      <c r="F37" s="1" t="s">
        <v>263</v>
      </c>
      <c r="G37" s="1" t="s">
        <v>50</v>
      </c>
      <c r="H37" s="1" t="s">
        <v>28</v>
      </c>
      <c r="I37" s="1" t="s">
        <v>270</v>
      </c>
      <c r="J37" s="1" t="s">
        <v>271</v>
      </c>
      <c r="K37" s="1">
        <v>32.666</v>
      </c>
      <c r="L37" s="1">
        <v>-102.996</v>
      </c>
      <c r="M37" s="1">
        <v>32.666</v>
      </c>
      <c r="N37" s="1">
        <v>-102.992</v>
      </c>
      <c r="O37" s="1">
        <v>1.0</v>
      </c>
      <c r="P37" s="1" t="s">
        <v>122</v>
      </c>
      <c r="Q37" s="2">
        <v>0.0167051590979099</v>
      </c>
      <c r="R37" s="1">
        <f>T37*1.609344</f>
        <v>0.402336</v>
      </c>
      <c r="S37" s="1">
        <f>U37*0.9144</f>
        <v>45.72</v>
      </c>
      <c r="T37" s="1">
        <v>0.25</v>
      </c>
      <c r="U37" s="1">
        <v>50.0</v>
      </c>
    </row>
    <row r="38" ht="15.75" customHeight="1">
      <c r="A38" s="8" t="s">
        <v>272</v>
      </c>
      <c r="B38" s="1" t="s">
        <v>273</v>
      </c>
      <c r="C38" s="1" t="s">
        <v>274</v>
      </c>
      <c r="D38" s="1" t="s">
        <v>275</v>
      </c>
      <c r="E38" s="1" t="s">
        <v>276</v>
      </c>
      <c r="F38" s="1" t="s">
        <v>277</v>
      </c>
      <c r="G38" s="1" t="s">
        <v>27</v>
      </c>
      <c r="H38" s="1" t="s">
        <v>36</v>
      </c>
      <c r="I38" s="1" t="s">
        <v>278</v>
      </c>
      <c r="K38" s="1">
        <v>34.526</v>
      </c>
      <c r="L38" s="1">
        <v>-101.306</v>
      </c>
      <c r="Q38" s="2">
        <v>0.007526384666562</v>
      </c>
    </row>
    <row r="39" ht="15.75" customHeight="1">
      <c r="A39" s="8" t="s">
        <v>279</v>
      </c>
      <c r="B39" s="1" t="s">
        <v>280</v>
      </c>
      <c r="C39" s="1" t="s">
        <v>274</v>
      </c>
      <c r="D39" s="1" t="s">
        <v>281</v>
      </c>
      <c r="E39" s="1" t="s">
        <v>282</v>
      </c>
      <c r="F39" s="1" t="s">
        <v>277</v>
      </c>
      <c r="G39" s="1" t="s">
        <v>27</v>
      </c>
      <c r="H39" s="1" t="s">
        <v>36</v>
      </c>
      <c r="I39" s="1" t="s">
        <v>283</v>
      </c>
      <c r="K39" s="1">
        <v>34.471</v>
      </c>
      <c r="L39" s="1">
        <v>-101.174</v>
      </c>
      <c r="Q39" s="2">
        <v>0.0048324442468583</v>
      </c>
    </row>
    <row r="40" ht="15.75" customHeight="1">
      <c r="A40" s="8" t="s">
        <v>284</v>
      </c>
      <c r="B40" s="1" t="s">
        <v>285</v>
      </c>
      <c r="C40" s="1" t="s">
        <v>286</v>
      </c>
      <c r="D40" s="1" t="s">
        <v>287</v>
      </c>
      <c r="E40" s="1" t="s">
        <v>288</v>
      </c>
      <c r="F40" s="1" t="s">
        <v>80</v>
      </c>
      <c r="G40" s="1" t="s">
        <v>27</v>
      </c>
      <c r="H40" s="1" t="s">
        <v>28</v>
      </c>
      <c r="I40" s="1" t="s">
        <v>289</v>
      </c>
      <c r="K40" s="1">
        <v>37.095</v>
      </c>
      <c r="L40" s="1">
        <v>-103.61</v>
      </c>
      <c r="Q40" s="2">
        <v>0.0125054055824875</v>
      </c>
    </row>
    <row r="41" ht="15.75" customHeight="1">
      <c r="A41" s="8" t="s">
        <v>290</v>
      </c>
      <c r="B41" s="1" t="s">
        <v>291</v>
      </c>
      <c r="C41" s="1" t="s">
        <v>292</v>
      </c>
      <c r="D41" s="1" t="s">
        <v>293</v>
      </c>
      <c r="E41" s="1" t="s">
        <v>294</v>
      </c>
      <c r="F41" s="1" t="s">
        <v>154</v>
      </c>
      <c r="G41" s="1" t="s">
        <v>27</v>
      </c>
      <c r="H41" s="1" t="s">
        <v>36</v>
      </c>
      <c r="I41" s="1" t="s">
        <v>295</v>
      </c>
      <c r="K41" s="1">
        <v>35.992</v>
      </c>
      <c r="L41" s="1">
        <v>-103.795</v>
      </c>
      <c r="Q41" s="2">
        <v>0.0067795924842357</v>
      </c>
    </row>
    <row r="42" ht="15.75" customHeight="1">
      <c r="A42" s="8" t="s">
        <v>296</v>
      </c>
      <c r="B42" s="1" t="s">
        <v>297</v>
      </c>
      <c r="C42" s="1" t="s">
        <v>298</v>
      </c>
      <c r="D42" s="1" t="s">
        <v>299</v>
      </c>
      <c r="E42" s="1" t="s">
        <v>300</v>
      </c>
      <c r="F42" s="1" t="s">
        <v>154</v>
      </c>
      <c r="G42" s="1" t="s">
        <v>27</v>
      </c>
      <c r="H42" s="1" t="s">
        <v>36</v>
      </c>
      <c r="I42" s="1" t="s">
        <v>301</v>
      </c>
      <c r="K42" s="1">
        <v>35.634</v>
      </c>
      <c r="L42" s="1">
        <v>-103.257</v>
      </c>
      <c r="Q42" s="2">
        <v>0.0131711214780807</v>
      </c>
    </row>
    <row r="43" ht="15.75" customHeight="1">
      <c r="A43" s="8" t="s">
        <v>302</v>
      </c>
      <c r="B43" s="1" t="s">
        <v>303</v>
      </c>
      <c r="C43" s="1" t="s">
        <v>304</v>
      </c>
      <c r="D43" s="1" t="s">
        <v>305</v>
      </c>
      <c r="E43" s="1" t="s">
        <v>306</v>
      </c>
      <c r="F43" s="1" t="s">
        <v>154</v>
      </c>
      <c r="G43" s="1" t="s">
        <v>27</v>
      </c>
      <c r="H43" s="1" t="s">
        <v>43</v>
      </c>
      <c r="I43" s="1" t="s">
        <v>307</v>
      </c>
      <c r="K43" s="1">
        <v>35.564</v>
      </c>
      <c r="L43" s="1">
        <v>-103.251</v>
      </c>
      <c r="Q43" s="2">
        <v>0.0200493335723876</v>
      </c>
    </row>
    <row r="44" ht="15.75" customHeight="1">
      <c r="A44" s="8" t="s">
        <v>308</v>
      </c>
      <c r="B44" s="8" t="s">
        <v>309</v>
      </c>
      <c r="C44" s="1" t="s">
        <v>310</v>
      </c>
      <c r="D44" s="1" t="s">
        <v>311</v>
      </c>
      <c r="E44" s="1" t="s">
        <v>312</v>
      </c>
      <c r="F44" s="1" t="s">
        <v>277</v>
      </c>
      <c r="G44" s="1" t="s">
        <v>50</v>
      </c>
      <c r="H44" s="1" t="s">
        <v>28</v>
      </c>
      <c r="I44" s="1" t="s">
        <v>313</v>
      </c>
      <c r="J44" s="1" t="s">
        <v>314</v>
      </c>
      <c r="K44" s="1">
        <v>36.076</v>
      </c>
      <c r="L44" s="1">
        <v>-100.018</v>
      </c>
      <c r="M44" s="1">
        <v>36.05</v>
      </c>
      <c r="N44" s="1">
        <v>-99.94</v>
      </c>
      <c r="O44" s="1">
        <v>4.0</v>
      </c>
      <c r="P44" s="1" t="s">
        <v>91</v>
      </c>
      <c r="Q44" s="2">
        <v>0.011889767833054</v>
      </c>
      <c r="R44" s="1">
        <f t="shared" ref="R44:R46" si="11">T44*1.609344</f>
        <v>5.632704</v>
      </c>
      <c r="S44" s="1">
        <f t="shared" ref="S44:S46" si="12">U44*0.9144</f>
        <v>182.88</v>
      </c>
      <c r="T44" s="1">
        <v>3.5</v>
      </c>
      <c r="U44" s="1">
        <v>200.0</v>
      </c>
    </row>
    <row r="45" ht="15.75" customHeight="1">
      <c r="A45" s="8" t="s">
        <v>315</v>
      </c>
      <c r="B45" s="8" t="s">
        <v>316</v>
      </c>
      <c r="C45" s="1" t="s">
        <v>310</v>
      </c>
      <c r="D45" s="1" t="s">
        <v>317</v>
      </c>
      <c r="E45" s="1" t="s">
        <v>318</v>
      </c>
      <c r="F45" s="1" t="s">
        <v>319</v>
      </c>
      <c r="G45" s="1" t="s">
        <v>50</v>
      </c>
      <c r="H45" s="1" t="s">
        <v>28</v>
      </c>
      <c r="I45" s="1" t="s">
        <v>320</v>
      </c>
      <c r="J45" s="1" t="s">
        <v>320</v>
      </c>
      <c r="K45" s="1">
        <v>36.188</v>
      </c>
      <c r="L45" s="1">
        <v>-99.561</v>
      </c>
      <c r="M45" s="1">
        <v>36.188</v>
      </c>
      <c r="N45" s="1">
        <v>-99.561</v>
      </c>
      <c r="O45" s="1">
        <v>0.0</v>
      </c>
      <c r="P45" s="1" t="s">
        <v>66</v>
      </c>
      <c r="Q45" s="2">
        <v>0.0183972399681806</v>
      </c>
      <c r="R45" s="1">
        <f t="shared" si="11"/>
        <v>0.1609344</v>
      </c>
      <c r="S45" s="1">
        <f t="shared" si="12"/>
        <v>9.144</v>
      </c>
      <c r="T45" s="1">
        <v>0.1</v>
      </c>
      <c r="U45" s="1">
        <v>10.0</v>
      </c>
    </row>
    <row r="46" ht="15.75" customHeight="1">
      <c r="A46" s="8" t="s">
        <v>321</v>
      </c>
      <c r="B46" s="8" t="s">
        <v>322</v>
      </c>
      <c r="C46" s="1" t="s">
        <v>323</v>
      </c>
      <c r="D46" s="1" t="s">
        <v>324</v>
      </c>
      <c r="E46" s="1" t="s">
        <v>325</v>
      </c>
      <c r="F46" s="1" t="s">
        <v>105</v>
      </c>
      <c r="G46" s="1" t="s">
        <v>50</v>
      </c>
      <c r="H46" s="1" t="s">
        <v>28</v>
      </c>
      <c r="I46" s="1" t="s">
        <v>326</v>
      </c>
      <c r="J46" s="1" t="s">
        <v>327</v>
      </c>
      <c r="K46" s="1">
        <v>34.9716</v>
      </c>
      <c r="L46" s="1">
        <v>-99.9474</v>
      </c>
      <c r="M46" s="1">
        <v>34.9936</v>
      </c>
      <c r="N46" s="1">
        <v>-99.9073</v>
      </c>
      <c r="O46" s="1">
        <v>5.0</v>
      </c>
      <c r="P46" s="1" t="s">
        <v>66</v>
      </c>
      <c r="Q46" s="2">
        <v>0.0170061998069286</v>
      </c>
      <c r="R46" s="1">
        <f t="shared" si="11"/>
        <v>4.39350912</v>
      </c>
      <c r="S46" s="1">
        <f t="shared" si="12"/>
        <v>45.72</v>
      </c>
      <c r="T46" s="1">
        <v>2.73</v>
      </c>
      <c r="U46" s="1">
        <v>50.0</v>
      </c>
    </row>
    <row r="47" ht="15.75" customHeight="1">
      <c r="A47" s="8" t="s">
        <v>328</v>
      </c>
      <c r="B47" s="1" t="s">
        <v>329</v>
      </c>
      <c r="C47" s="1" t="s">
        <v>330</v>
      </c>
      <c r="D47" s="1" t="s">
        <v>331</v>
      </c>
      <c r="E47" s="1" t="s">
        <v>332</v>
      </c>
      <c r="F47" s="1" t="s">
        <v>263</v>
      </c>
      <c r="G47" s="1" t="s">
        <v>27</v>
      </c>
      <c r="H47" s="1" t="s">
        <v>28</v>
      </c>
      <c r="I47" s="1" t="s">
        <v>333</v>
      </c>
      <c r="K47" s="1">
        <v>31.824</v>
      </c>
      <c r="L47" s="1">
        <v>-102.661</v>
      </c>
      <c r="Q47" s="2">
        <v>0.0235291346907615</v>
      </c>
    </row>
    <row r="48" ht="15.75" customHeight="1">
      <c r="A48" s="8" t="s">
        <v>334</v>
      </c>
      <c r="B48" s="8" t="s">
        <v>335</v>
      </c>
      <c r="C48" s="1" t="s">
        <v>336</v>
      </c>
      <c r="D48" s="1" t="s">
        <v>337</v>
      </c>
      <c r="E48" s="1" t="s">
        <v>338</v>
      </c>
      <c r="F48" s="1" t="s">
        <v>319</v>
      </c>
      <c r="G48" s="1" t="s">
        <v>50</v>
      </c>
      <c r="H48" s="1" t="s">
        <v>28</v>
      </c>
      <c r="I48" s="1" t="s">
        <v>339</v>
      </c>
      <c r="J48" s="1" t="s">
        <v>340</v>
      </c>
      <c r="K48" s="1">
        <v>35.97</v>
      </c>
      <c r="L48" s="1">
        <v>-98.1379</v>
      </c>
      <c r="M48" s="1">
        <v>35.9269</v>
      </c>
      <c r="N48" s="1">
        <v>-97.8958</v>
      </c>
      <c r="O48" s="1">
        <v>27.0</v>
      </c>
      <c r="P48" s="1" t="s">
        <v>91</v>
      </c>
      <c r="Q48" s="2">
        <v>0.0209854505956172</v>
      </c>
      <c r="R48" s="1">
        <f>T48*1.609344</f>
        <v>22.530816</v>
      </c>
      <c r="S48" s="1">
        <f>U48*0.9144</f>
        <v>68.58</v>
      </c>
      <c r="T48" s="1">
        <v>14.0</v>
      </c>
      <c r="U48" s="1">
        <v>75.0</v>
      </c>
    </row>
    <row r="49" ht="15.75" customHeight="1">
      <c r="A49" s="8" t="s">
        <v>341</v>
      </c>
      <c r="B49" s="1" t="s">
        <v>342</v>
      </c>
      <c r="C49" s="1" t="s">
        <v>180</v>
      </c>
      <c r="D49" s="1" t="s">
        <v>343</v>
      </c>
      <c r="E49" s="1" t="s">
        <v>344</v>
      </c>
      <c r="F49" s="1" t="s">
        <v>35</v>
      </c>
      <c r="G49" s="1" t="s">
        <v>27</v>
      </c>
      <c r="H49" s="1" t="s">
        <v>28</v>
      </c>
      <c r="I49" s="1" t="s">
        <v>345</v>
      </c>
      <c r="K49" s="1">
        <v>42.467</v>
      </c>
      <c r="L49" s="1">
        <v>-104.102</v>
      </c>
      <c r="Q49" s="2">
        <v>0.0151947038248181</v>
      </c>
    </row>
    <row r="50" ht="15.75" customHeight="1">
      <c r="A50" s="8" t="s">
        <v>346</v>
      </c>
      <c r="B50" s="1" t="s">
        <v>347</v>
      </c>
      <c r="C50" s="1" t="s">
        <v>348</v>
      </c>
      <c r="D50" s="1" t="s">
        <v>349</v>
      </c>
      <c r="E50" s="1" t="s">
        <v>350</v>
      </c>
      <c r="F50" s="1" t="s">
        <v>176</v>
      </c>
      <c r="G50" s="1" t="s">
        <v>27</v>
      </c>
      <c r="H50" s="1" t="s">
        <v>28</v>
      </c>
      <c r="I50" s="1" t="s">
        <v>351</v>
      </c>
      <c r="K50" s="1">
        <v>41.429</v>
      </c>
      <c r="L50" s="1">
        <v>-101.015</v>
      </c>
      <c r="Q50" s="2">
        <v>0.0107706068083643</v>
      </c>
    </row>
    <row r="51" ht="15.75" customHeight="1">
      <c r="A51" s="8" t="s">
        <v>352</v>
      </c>
      <c r="B51" s="8" t="s">
        <v>353</v>
      </c>
      <c r="C51" s="1" t="s">
        <v>354</v>
      </c>
      <c r="D51" s="1" t="s">
        <v>355</v>
      </c>
      <c r="E51" s="1" t="s">
        <v>356</v>
      </c>
      <c r="F51" s="1" t="s">
        <v>97</v>
      </c>
      <c r="G51" s="1" t="s">
        <v>50</v>
      </c>
      <c r="H51" s="1" t="s">
        <v>28</v>
      </c>
      <c r="I51" s="1" t="s">
        <v>357</v>
      </c>
      <c r="J51" s="1" t="s">
        <v>358</v>
      </c>
      <c r="K51" s="1">
        <v>38.6092</v>
      </c>
      <c r="L51" s="1">
        <v>-101.8268</v>
      </c>
      <c r="M51" s="1">
        <v>38.6138</v>
      </c>
      <c r="N51" s="1">
        <v>-101.8174</v>
      </c>
      <c r="O51" s="1">
        <v>2.0</v>
      </c>
      <c r="P51" s="1" t="s">
        <v>66</v>
      </c>
      <c r="Q51" s="2">
        <v>0.016024749726057</v>
      </c>
      <c r="R51" s="1">
        <f t="shared" ref="R51:R52" si="13">T51*1.609344</f>
        <v>0.9656064</v>
      </c>
      <c r="S51" s="1">
        <f t="shared" ref="S51:S52" si="14">U51*0.9144</f>
        <v>22.86</v>
      </c>
      <c r="T51" s="1">
        <v>0.6</v>
      </c>
      <c r="U51" s="1">
        <v>25.0</v>
      </c>
    </row>
    <row r="52" ht="15.75" customHeight="1">
      <c r="A52" s="8" t="s">
        <v>359</v>
      </c>
      <c r="B52" s="8" t="s">
        <v>360</v>
      </c>
      <c r="C52" s="1" t="s">
        <v>361</v>
      </c>
      <c r="D52" s="1" t="s">
        <v>362</v>
      </c>
      <c r="E52" s="1" t="s">
        <v>363</v>
      </c>
      <c r="F52" s="1" t="s">
        <v>97</v>
      </c>
      <c r="G52" s="1" t="s">
        <v>50</v>
      </c>
      <c r="H52" s="1" t="s">
        <v>43</v>
      </c>
      <c r="I52" s="1" t="s">
        <v>364</v>
      </c>
      <c r="J52" s="1" t="s">
        <v>355</v>
      </c>
      <c r="K52" s="1">
        <v>38.5647</v>
      </c>
      <c r="L52" s="1">
        <v>-102.0323</v>
      </c>
      <c r="M52" s="1">
        <v>38.5701</v>
      </c>
      <c r="N52" s="1">
        <v>-102.0186</v>
      </c>
      <c r="O52" s="1">
        <v>3.0</v>
      </c>
      <c r="P52" s="1" t="s">
        <v>66</v>
      </c>
      <c r="Q52" s="2">
        <v>0.0182536244392395</v>
      </c>
      <c r="R52" s="1">
        <f t="shared" si="13"/>
        <v>1.33575552</v>
      </c>
      <c r="S52" s="1">
        <f t="shared" si="14"/>
        <v>9.144</v>
      </c>
      <c r="T52" s="1">
        <v>0.83</v>
      </c>
      <c r="U52" s="1">
        <v>10.0</v>
      </c>
    </row>
    <row r="53" ht="15.75" customHeight="1">
      <c r="A53" s="8" t="s">
        <v>365</v>
      </c>
      <c r="B53" s="1" t="s">
        <v>366</v>
      </c>
      <c r="C53" s="1" t="s">
        <v>367</v>
      </c>
      <c r="D53" s="1" t="s">
        <v>368</v>
      </c>
      <c r="E53" s="1" t="s">
        <v>369</v>
      </c>
      <c r="F53" s="1" t="s">
        <v>97</v>
      </c>
      <c r="G53" s="1" t="s">
        <v>27</v>
      </c>
      <c r="H53" s="1" t="s">
        <v>43</v>
      </c>
      <c r="I53" s="1" t="s">
        <v>370</v>
      </c>
      <c r="K53" s="1">
        <v>40.063</v>
      </c>
      <c r="L53" s="1">
        <v>-101.747</v>
      </c>
      <c r="Q53" s="2">
        <v>0.0137025015428662</v>
      </c>
    </row>
    <row r="54" ht="15.75" customHeight="1">
      <c r="A54" s="8" t="s">
        <v>371</v>
      </c>
      <c r="B54" s="1" t="s">
        <v>372</v>
      </c>
      <c r="C54" s="1" t="s">
        <v>373</v>
      </c>
      <c r="D54" s="1" t="s">
        <v>374</v>
      </c>
      <c r="E54" s="1" t="s">
        <v>375</v>
      </c>
      <c r="F54" s="1" t="s">
        <v>376</v>
      </c>
      <c r="G54" s="1" t="s">
        <v>27</v>
      </c>
      <c r="H54" s="1" t="s">
        <v>28</v>
      </c>
      <c r="I54" s="1" t="s">
        <v>377</v>
      </c>
      <c r="K54" s="1">
        <v>42.785</v>
      </c>
      <c r="L54" s="1">
        <v>-98.51</v>
      </c>
      <c r="Q54" s="2">
        <v>0.0061780004762113</v>
      </c>
    </row>
    <row r="55" ht="15.75" customHeight="1">
      <c r="A55" s="8" t="s">
        <v>378</v>
      </c>
      <c r="B55" s="1" t="s">
        <v>379</v>
      </c>
      <c r="C55" s="1" t="s">
        <v>125</v>
      </c>
      <c r="D55" s="1" t="s">
        <v>380</v>
      </c>
      <c r="E55" s="1" t="s">
        <v>381</v>
      </c>
      <c r="F55" s="1" t="s">
        <v>176</v>
      </c>
      <c r="G55" s="1" t="s">
        <v>27</v>
      </c>
      <c r="H55" s="1" t="s">
        <v>43</v>
      </c>
      <c r="I55" s="1" t="s">
        <v>382</v>
      </c>
      <c r="K55" s="1">
        <v>41.018</v>
      </c>
      <c r="L55" s="1">
        <v>-101.882</v>
      </c>
      <c r="Q55" s="2">
        <v>0.0123972799628973</v>
      </c>
    </row>
    <row r="56" ht="15.75" customHeight="1">
      <c r="A56" s="8" t="s">
        <v>383</v>
      </c>
      <c r="B56" s="8" t="s">
        <v>384</v>
      </c>
      <c r="C56" s="1" t="s">
        <v>385</v>
      </c>
      <c r="D56" s="1" t="s">
        <v>386</v>
      </c>
      <c r="E56" s="1" t="s">
        <v>387</v>
      </c>
      <c r="F56" s="1" t="s">
        <v>35</v>
      </c>
      <c r="G56" s="1" t="s">
        <v>50</v>
      </c>
      <c r="H56" s="1" t="s">
        <v>28</v>
      </c>
      <c r="I56" s="1" t="s">
        <v>388</v>
      </c>
      <c r="J56" s="1" t="s">
        <v>389</v>
      </c>
      <c r="K56" s="1">
        <v>42.01</v>
      </c>
      <c r="L56" s="1">
        <v>-103.66</v>
      </c>
      <c r="M56" s="1">
        <v>42.01</v>
      </c>
      <c r="N56" s="1">
        <v>-103.66</v>
      </c>
      <c r="O56" s="1">
        <v>15.0</v>
      </c>
      <c r="P56" s="1" t="s">
        <v>66</v>
      </c>
      <c r="Q56" s="2">
        <v>0.0132185351103544</v>
      </c>
      <c r="R56" s="1">
        <f t="shared" ref="R56:R57" si="15">T56*1.609344</f>
        <v>0.804672</v>
      </c>
      <c r="S56" s="1">
        <f t="shared" ref="S56:S57" si="16">U56*0.9144</f>
        <v>91.44</v>
      </c>
      <c r="T56" s="1">
        <v>0.5</v>
      </c>
      <c r="U56" s="1">
        <v>100.0</v>
      </c>
    </row>
    <row r="57" ht="15.75" customHeight="1">
      <c r="A57" s="8" t="s">
        <v>390</v>
      </c>
      <c r="B57" s="8" t="s">
        <v>391</v>
      </c>
      <c r="C57" s="1" t="s">
        <v>392</v>
      </c>
      <c r="D57" s="1" t="s">
        <v>393</v>
      </c>
      <c r="E57" s="1" t="s">
        <v>394</v>
      </c>
      <c r="F57" s="1" t="s">
        <v>35</v>
      </c>
      <c r="G57" s="1" t="s">
        <v>50</v>
      </c>
      <c r="H57" s="1" t="s">
        <v>28</v>
      </c>
      <c r="I57" s="1" t="s">
        <v>395</v>
      </c>
      <c r="J57" s="1" t="s">
        <v>394</v>
      </c>
      <c r="K57" s="1">
        <v>41.87</v>
      </c>
      <c r="L57" s="1">
        <v>-103.6451</v>
      </c>
      <c r="M57" s="1">
        <v>41.71</v>
      </c>
      <c r="N57" s="1">
        <v>-103.35</v>
      </c>
      <c r="O57" s="1">
        <v>37.0</v>
      </c>
      <c r="P57" s="1" t="s">
        <v>91</v>
      </c>
      <c r="Q57" s="2">
        <v>0.0175393670797348</v>
      </c>
      <c r="R57" s="1">
        <f t="shared" si="15"/>
        <v>30.577536</v>
      </c>
      <c r="S57" s="1">
        <f t="shared" si="16"/>
        <v>91.44</v>
      </c>
      <c r="T57" s="1">
        <v>19.0</v>
      </c>
      <c r="U57" s="1">
        <v>100.0</v>
      </c>
    </row>
    <row r="58" ht="15.75" customHeight="1">
      <c r="A58" s="8" t="s">
        <v>396</v>
      </c>
      <c r="B58" s="1" t="s">
        <v>397</v>
      </c>
      <c r="C58" s="1" t="s">
        <v>398</v>
      </c>
      <c r="D58" s="1" t="s">
        <v>399</v>
      </c>
      <c r="E58" s="1" t="s">
        <v>400</v>
      </c>
      <c r="F58" s="1" t="s">
        <v>35</v>
      </c>
      <c r="G58" s="1" t="s">
        <v>27</v>
      </c>
      <c r="H58" s="1" t="s">
        <v>28</v>
      </c>
      <c r="I58" s="1" t="s">
        <v>401</v>
      </c>
      <c r="K58" s="1">
        <v>41.868</v>
      </c>
      <c r="L58" s="1">
        <v>-104.078</v>
      </c>
      <c r="Q58" s="2">
        <v>0.0128548527136445</v>
      </c>
    </row>
    <row r="59" ht="15.75" customHeight="1">
      <c r="A59" s="8" t="s">
        <v>402</v>
      </c>
      <c r="B59" s="1" t="s">
        <v>403</v>
      </c>
      <c r="C59" s="1" t="s">
        <v>404</v>
      </c>
      <c r="D59" s="1" t="s">
        <v>405</v>
      </c>
      <c r="E59" s="1" t="s">
        <v>406</v>
      </c>
      <c r="F59" s="1" t="s">
        <v>407</v>
      </c>
      <c r="G59" s="1" t="s">
        <v>27</v>
      </c>
      <c r="H59" s="1" t="s">
        <v>43</v>
      </c>
      <c r="I59" s="1" t="s">
        <v>408</v>
      </c>
      <c r="K59" s="1">
        <v>39.939</v>
      </c>
      <c r="L59" s="1">
        <v>-104.427</v>
      </c>
      <c r="Q59" s="2">
        <v>0.0222969651222229</v>
      </c>
    </row>
    <row r="60" ht="15.75" customHeight="1">
      <c r="A60" s="8" t="s">
        <v>409</v>
      </c>
      <c r="B60" s="8" t="s">
        <v>410</v>
      </c>
      <c r="C60" s="1" t="s">
        <v>404</v>
      </c>
      <c r="D60" s="1" t="s">
        <v>411</v>
      </c>
      <c r="E60" s="1" t="s">
        <v>412</v>
      </c>
      <c r="F60" s="1" t="s">
        <v>407</v>
      </c>
      <c r="G60" s="1" t="s">
        <v>50</v>
      </c>
      <c r="H60" s="1" t="s">
        <v>43</v>
      </c>
      <c r="I60" s="1" t="s">
        <v>413</v>
      </c>
      <c r="J60" s="1" t="s">
        <v>413</v>
      </c>
      <c r="K60" s="1">
        <v>39.73</v>
      </c>
      <c r="L60" s="1">
        <v>-103.56</v>
      </c>
      <c r="M60" s="1">
        <v>39.73</v>
      </c>
      <c r="N60" s="1">
        <v>-103.56</v>
      </c>
      <c r="O60" s="1">
        <v>0.0</v>
      </c>
      <c r="P60" s="1" t="s">
        <v>66</v>
      </c>
      <c r="Q60" s="2">
        <v>0.0245489161461591</v>
      </c>
      <c r="R60" s="1">
        <f t="shared" ref="R60:R64" si="17">T60*1.609344</f>
        <v>0.1609344</v>
      </c>
      <c r="S60" s="1">
        <f t="shared" ref="S60:S64" si="18">U60*0.9144</f>
        <v>91.44</v>
      </c>
      <c r="T60" s="1">
        <v>0.1</v>
      </c>
      <c r="U60" s="1">
        <v>100.0</v>
      </c>
    </row>
    <row r="61" ht="15.75" customHeight="1">
      <c r="A61" s="8" t="s">
        <v>414</v>
      </c>
      <c r="B61" s="8" t="s">
        <v>415</v>
      </c>
      <c r="C61" s="1" t="s">
        <v>32</v>
      </c>
      <c r="D61" s="1" t="s">
        <v>416</v>
      </c>
      <c r="E61" s="1" t="s">
        <v>417</v>
      </c>
      <c r="F61" s="1" t="s">
        <v>407</v>
      </c>
      <c r="G61" s="1" t="s">
        <v>50</v>
      </c>
      <c r="H61" s="1" t="s">
        <v>43</v>
      </c>
      <c r="I61" s="1" t="s">
        <v>418</v>
      </c>
      <c r="J61" s="1" t="s">
        <v>418</v>
      </c>
      <c r="K61" s="1">
        <v>39.13</v>
      </c>
      <c r="L61" s="1">
        <v>-103.93</v>
      </c>
      <c r="M61" s="1">
        <v>39.13</v>
      </c>
      <c r="N61" s="1">
        <v>-103.93</v>
      </c>
      <c r="O61" s="1">
        <v>0.0</v>
      </c>
      <c r="P61" s="1" t="s">
        <v>66</v>
      </c>
      <c r="Q61" s="2">
        <v>0.0174364764243364</v>
      </c>
      <c r="R61" s="1">
        <f t="shared" si="17"/>
        <v>0.1609344</v>
      </c>
      <c r="S61" s="1">
        <f t="shared" si="18"/>
        <v>45.72</v>
      </c>
      <c r="T61" s="1">
        <v>0.1</v>
      </c>
      <c r="U61" s="1">
        <v>50.0</v>
      </c>
    </row>
    <row r="62" ht="15.75" customHeight="1">
      <c r="A62" s="8" t="s">
        <v>419</v>
      </c>
      <c r="B62" s="8" t="s">
        <v>420</v>
      </c>
      <c r="C62" s="1" t="s">
        <v>421</v>
      </c>
      <c r="D62" s="1" t="s">
        <v>422</v>
      </c>
      <c r="E62" s="1" t="s">
        <v>423</v>
      </c>
      <c r="F62" s="1" t="s">
        <v>277</v>
      </c>
      <c r="G62" s="1" t="s">
        <v>50</v>
      </c>
      <c r="H62" s="1" t="s">
        <v>28</v>
      </c>
      <c r="I62" s="1" t="s">
        <v>424</v>
      </c>
      <c r="J62" s="1" t="s">
        <v>425</v>
      </c>
      <c r="K62" s="1">
        <v>35.9042</v>
      </c>
      <c r="L62" s="1">
        <v>-101.73</v>
      </c>
      <c r="M62" s="1">
        <v>35.9057</v>
      </c>
      <c r="N62" s="1">
        <v>-101.7202</v>
      </c>
      <c r="O62" s="1">
        <v>2.0</v>
      </c>
      <c r="P62" s="1" t="s">
        <v>66</v>
      </c>
      <c r="Q62" s="2">
        <v>0.0174747724086046</v>
      </c>
      <c r="R62" s="1">
        <f t="shared" si="17"/>
        <v>0.90123264</v>
      </c>
      <c r="S62" s="1">
        <f t="shared" si="18"/>
        <v>22.86</v>
      </c>
      <c r="T62" s="1">
        <v>0.56</v>
      </c>
      <c r="U62" s="1">
        <v>25.0</v>
      </c>
    </row>
    <row r="63" ht="15.75" customHeight="1">
      <c r="A63" s="8" t="s">
        <v>426</v>
      </c>
      <c r="B63" s="8" t="s">
        <v>427</v>
      </c>
      <c r="C63" s="1" t="s">
        <v>310</v>
      </c>
      <c r="D63" s="1" t="s">
        <v>428</v>
      </c>
      <c r="E63" s="1" t="s">
        <v>429</v>
      </c>
      <c r="F63" s="1" t="s">
        <v>72</v>
      </c>
      <c r="G63" s="1" t="s">
        <v>50</v>
      </c>
      <c r="H63" s="1" t="s">
        <v>28</v>
      </c>
      <c r="I63" s="1" t="s">
        <v>430</v>
      </c>
      <c r="J63" s="1" t="s">
        <v>431</v>
      </c>
      <c r="K63" s="1">
        <v>36.62</v>
      </c>
      <c r="L63" s="1">
        <v>-100.32</v>
      </c>
      <c r="M63" s="1">
        <v>36.63</v>
      </c>
      <c r="N63" s="1">
        <v>-100.27</v>
      </c>
      <c r="O63" s="1">
        <v>5.0</v>
      </c>
      <c r="P63" s="1" t="s">
        <v>66</v>
      </c>
      <c r="Q63" s="2">
        <v>0.0147158177569508</v>
      </c>
      <c r="R63" s="1">
        <f t="shared" si="17"/>
        <v>4.9889664</v>
      </c>
      <c r="S63" s="1">
        <f t="shared" si="18"/>
        <v>22.86</v>
      </c>
      <c r="T63" s="1">
        <v>3.1</v>
      </c>
      <c r="U63" s="1">
        <v>25.0</v>
      </c>
    </row>
    <row r="64" ht="15.75" customHeight="1">
      <c r="A64" s="8" t="s">
        <v>432</v>
      </c>
      <c r="B64" s="8" t="s">
        <v>433</v>
      </c>
      <c r="C64" s="1" t="s">
        <v>151</v>
      </c>
      <c r="D64" s="1" t="s">
        <v>434</v>
      </c>
      <c r="E64" s="1" t="s">
        <v>435</v>
      </c>
      <c r="F64" s="1" t="s">
        <v>113</v>
      </c>
      <c r="G64" s="1" t="s">
        <v>50</v>
      </c>
      <c r="H64" s="1" t="s">
        <v>28</v>
      </c>
      <c r="I64" s="1" t="s">
        <v>436</v>
      </c>
      <c r="J64" s="1" t="s">
        <v>437</v>
      </c>
      <c r="K64" s="1">
        <v>33.2901</v>
      </c>
      <c r="L64" s="1">
        <v>-101.7327</v>
      </c>
      <c r="M64" s="1">
        <v>33.2911</v>
      </c>
      <c r="N64" s="1">
        <v>-101.73</v>
      </c>
      <c r="O64" s="1">
        <v>1.0</v>
      </c>
      <c r="P64" s="1" t="s">
        <v>66</v>
      </c>
      <c r="Q64" s="2">
        <v>0.015605236403644</v>
      </c>
      <c r="R64" s="1">
        <f t="shared" si="17"/>
        <v>0.3218688</v>
      </c>
      <c r="S64" s="1">
        <f t="shared" si="18"/>
        <v>36.576</v>
      </c>
      <c r="T64" s="1">
        <v>0.2</v>
      </c>
      <c r="U64" s="1">
        <v>40.0</v>
      </c>
    </row>
    <row r="65" ht="15.75" customHeight="1">
      <c r="A65" s="8" t="s">
        <v>438</v>
      </c>
      <c r="B65" s="1" t="s">
        <v>439</v>
      </c>
      <c r="C65" s="1" t="s">
        <v>69</v>
      </c>
      <c r="D65" s="1" t="s">
        <v>440</v>
      </c>
      <c r="E65" s="1" t="s">
        <v>441</v>
      </c>
      <c r="F65" s="1" t="s">
        <v>72</v>
      </c>
      <c r="G65" s="1" t="s">
        <v>27</v>
      </c>
      <c r="H65" s="1" t="s">
        <v>43</v>
      </c>
      <c r="I65" s="1" t="s">
        <v>442</v>
      </c>
      <c r="K65" s="1">
        <v>37.731</v>
      </c>
      <c r="L65" s="1">
        <v>-99.28</v>
      </c>
      <c r="Q65" s="2">
        <v>0.0161857418715953</v>
      </c>
    </row>
    <row r="66" ht="15.75" customHeight="1">
      <c r="A66" s="8" t="s">
        <v>443</v>
      </c>
      <c r="B66" s="1" t="s">
        <v>444</v>
      </c>
      <c r="C66" s="1" t="s">
        <v>445</v>
      </c>
      <c r="D66" s="1" t="s">
        <v>446</v>
      </c>
      <c r="E66" s="1" t="s">
        <v>447</v>
      </c>
      <c r="F66" s="1" t="s">
        <v>448</v>
      </c>
      <c r="G66" s="1" t="s">
        <v>27</v>
      </c>
      <c r="H66" s="1" t="s">
        <v>28</v>
      </c>
      <c r="I66" s="1" t="s">
        <v>449</v>
      </c>
      <c r="K66" s="1">
        <v>32.834</v>
      </c>
      <c r="L66" s="1">
        <v>-100.222</v>
      </c>
      <c r="Q66" s="2">
        <v>0.0147390309721231</v>
      </c>
    </row>
    <row r="67" ht="15.75" customHeight="1">
      <c r="A67" s="8" t="s">
        <v>450</v>
      </c>
      <c r="B67" s="1" t="s">
        <v>451</v>
      </c>
      <c r="C67" s="1" t="s">
        <v>452</v>
      </c>
      <c r="D67" s="1" t="s">
        <v>453</v>
      </c>
      <c r="E67" s="1" t="s">
        <v>454</v>
      </c>
      <c r="F67" s="1" t="s">
        <v>88</v>
      </c>
      <c r="G67" s="1" t="s">
        <v>27</v>
      </c>
      <c r="H67" s="1" t="s">
        <v>43</v>
      </c>
      <c r="I67" s="1" t="s">
        <v>455</v>
      </c>
      <c r="K67" s="1">
        <v>34.274</v>
      </c>
      <c r="L67" s="1">
        <v>-96.927</v>
      </c>
      <c r="Q67" s="2">
        <v>0.0177568718791008</v>
      </c>
    </row>
    <row r="68" ht="15.75" customHeight="1">
      <c r="A68" s="8" t="s">
        <v>456</v>
      </c>
      <c r="B68" s="8" t="s">
        <v>457</v>
      </c>
      <c r="C68" s="1" t="s">
        <v>458</v>
      </c>
      <c r="D68" s="1" t="s">
        <v>459</v>
      </c>
      <c r="E68" s="1" t="s">
        <v>460</v>
      </c>
      <c r="F68" s="1" t="s">
        <v>88</v>
      </c>
      <c r="G68" s="1" t="s">
        <v>50</v>
      </c>
      <c r="H68" s="1" t="s">
        <v>28</v>
      </c>
      <c r="I68" s="1" t="s">
        <v>461</v>
      </c>
      <c r="J68" s="1" t="s">
        <v>462</v>
      </c>
      <c r="K68" s="1">
        <v>34.359</v>
      </c>
      <c r="L68" s="1">
        <v>-97.037</v>
      </c>
      <c r="M68" s="1">
        <v>34.34</v>
      </c>
      <c r="N68" s="1">
        <v>-96.99</v>
      </c>
      <c r="O68" s="1">
        <v>1.0</v>
      </c>
      <c r="P68" s="1" t="s">
        <v>122</v>
      </c>
      <c r="Q68" s="2">
        <v>0.0307697262614965</v>
      </c>
      <c r="R68" s="1">
        <f>T68*1.609344</f>
        <v>4.3452288</v>
      </c>
      <c r="S68" s="1">
        <f>U68*0.9144</f>
        <v>45.72</v>
      </c>
      <c r="T68" s="1">
        <v>2.7</v>
      </c>
      <c r="U68" s="1">
        <v>50.0</v>
      </c>
    </row>
    <row r="69" ht="15.75" customHeight="1">
      <c r="A69" s="8" t="s">
        <v>463</v>
      </c>
      <c r="B69" s="1" t="s">
        <v>464</v>
      </c>
      <c r="C69" s="1" t="s">
        <v>465</v>
      </c>
      <c r="D69" s="1" t="s">
        <v>466</v>
      </c>
      <c r="E69" s="1" t="s">
        <v>467</v>
      </c>
      <c r="F69" s="1" t="s">
        <v>72</v>
      </c>
      <c r="G69" s="1" t="s">
        <v>27</v>
      </c>
      <c r="H69" s="1" t="s">
        <v>36</v>
      </c>
      <c r="I69" s="1" t="s">
        <v>468</v>
      </c>
      <c r="K69" s="1">
        <v>38.73</v>
      </c>
      <c r="L69" s="1">
        <v>-100.102</v>
      </c>
      <c r="Q69" s="2">
        <v>0.0057888668961822</v>
      </c>
    </row>
    <row r="70" ht="15.75" customHeight="1">
      <c r="A70" s="8" t="s">
        <v>469</v>
      </c>
      <c r="B70" s="8" t="s">
        <v>470</v>
      </c>
      <c r="C70" s="1" t="s">
        <v>471</v>
      </c>
      <c r="D70" s="1" t="s">
        <v>472</v>
      </c>
      <c r="E70" s="1" t="s">
        <v>473</v>
      </c>
      <c r="F70" s="1" t="s">
        <v>474</v>
      </c>
      <c r="G70" s="8" t="s">
        <v>27</v>
      </c>
      <c r="H70" s="1" t="s">
        <v>28</v>
      </c>
      <c r="I70" s="8" t="s">
        <v>475</v>
      </c>
      <c r="J70" s="1"/>
      <c r="K70" s="1"/>
      <c r="L70" s="1"/>
      <c r="M70" s="1"/>
      <c r="N70" s="1"/>
      <c r="O70" s="1"/>
      <c r="P70" s="1"/>
      <c r="Q70" s="2">
        <v>0.0310900118201971</v>
      </c>
      <c r="R70" s="1"/>
      <c r="S70" s="1"/>
      <c r="T70" s="1"/>
      <c r="U70" s="1"/>
    </row>
    <row r="71" ht="15.75" customHeight="1">
      <c r="A71" s="8" t="s">
        <v>476</v>
      </c>
      <c r="B71" s="8" t="s">
        <v>477</v>
      </c>
      <c r="C71" s="1" t="s">
        <v>478</v>
      </c>
      <c r="D71" s="1" t="s">
        <v>479</v>
      </c>
      <c r="E71" s="1" t="s">
        <v>480</v>
      </c>
      <c r="F71" s="1" t="s">
        <v>35</v>
      </c>
      <c r="G71" s="1" t="s">
        <v>50</v>
      </c>
      <c r="H71" s="1" t="s">
        <v>43</v>
      </c>
      <c r="I71" s="1" t="s">
        <v>481</v>
      </c>
      <c r="J71" s="1" t="s">
        <v>482</v>
      </c>
      <c r="K71" s="1">
        <v>41.3045</v>
      </c>
      <c r="L71" s="1">
        <v>-104.6858</v>
      </c>
      <c r="M71" s="1">
        <v>41.3446</v>
      </c>
      <c r="N71" s="1">
        <v>-104.6818</v>
      </c>
      <c r="O71" s="1">
        <v>4.0</v>
      </c>
      <c r="P71" s="1" t="s">
        <v>66</v>
      </c>
      <c r="Q71" s="2">
        <v>0.0199523102492094</v>
      </c>
      <c r="R71" s="1">
        <f t="shared" ref="R71:R73" si="19">T71*1.609344</f>
        <v>4.47397632</v>
      </c>
      <c r="S71" s="1">
        <f t="shared" ref="S71:S72" si="20">U71*0.9144</f>
        <v>73.152</v>
      </c>
      <c r="T71" s="1">
        <v>2.78</v>
      </c>
      <c r="U71" s="1">
        <v>80.0</v>
      </c>
    </row>
    <row r="72" ht="15.75" customHeight="1">
      <c r="A72" s="8" t="s">
        <v>483</v>
      </c>
      <c r="B72" s="8" t="s">
        <v>484</v>
      </c>
      <c r="C72" s="1" t="s">
        <v>485</v>
      </c>
      <c r="D72" s="1" t="s">
        <v>486</v>
      </c>
      <c r="E72" s="1" t="s">
        <v>487</v>
      </c>
      <c r="F72" s="1" t="s">
        <v>35</v>
      </c>
      <c r="G72" s="1" t="s">
        <v>50</v>
      </c>
      <c r="H72" s="1" t="s">
        <v>43</v>
      </c>
      <c r="I72" s="1" t="s">
        <v>488</v>
      </c>
      <c r="J72" s="1" t="s">
        <v>489</v>
      </c>
      <c r="K72" s="1">
        <v>41.3683</v>
      </c>
      <c r="L72" s="1">
        <v>-103.8818</v>
      </c>
      <c r="M72" s="1">
        <v>41.3755</v>
      </c>
      <c r="N72" s="1">
        <v>-103.8977</v>
      </c>
      <c r="O72" s="1">
        <v>7.0</v>
      </c>
      <c r="P72" s="1" t="s">
        <v>91</v>
      </c>
      <c r="Q72" s="2">
        <v>0.0356336236000061</v>
      </c>
      <c r="R72" s="1">
        <f t="shared" si="19"/>
        <v>1.54497024</v>
      </c>
      <c r="S72" s="1">
        <f t="shared" si="20"/>
        <v>73.152</v>
      </c>
      <c r="T72" s="1">
        <v>0.96</v>
      </c>
      <c r="U72" s="1">
        <v>80.0</v>
      </c>
    </row>
    <row r="73" ht="15.75" customHeight="1">
      <c r="A73" s="8" t="s">
        <v>490</v>
      </c>
      <c r="B73" s="8" t="s">
        <v>491</v>
      </c>
      <c r="C73" s="1" t="s">
        <v>485</v>
      </c>
      <c r="D73" s="1" t="s">
        <v>486</v>
      </c>
      <c r="E73" s="1" t="s">
        <v>487</v>
      </c>
      <c r="F73" s="1" t="s">
        <v>35</v>
      </c>
      <c r="G73" s="1" t="s">
        <v>50</v>
      </c>
      <c r="H73" s="1" t="s">
        <v>43</v>
      </c>
      <c r="I73" s="1" t="s">
        <v>492</v>
      </c>
      <c r="J73" s="1" t="s">
        <v>493</v>
      </c>
      <c r="K73" s="1">
        <v>41.49</v>
      </c>
      <c r="L73" s="1">
        <v>-103.64</v>
      </c>
      <c r="M73" s="1">
        <v>41.54</v>
      </c>
      <c r="N73" s="1">
        <v>-103.6</v>
      </c>
      <c r="O73" s="1">
        <v>10.0</v>
      </c>
      <c r="P73" s="1" t="s">
        <v>91</v>
      </c>
      <c r="Q73" s="2">
        <v>0.0246704164892435</v>
      </c>
      <c r="R73" s="1">
        <f t="shared" si="19"/>
        <v>6.7592448</v>
      </c>
      <c r="T73" s="1">
        <v>4.2</v>
      </c>
      <c r="U73" s="1"/>
    </row>
    <row r="74" ht="15.75" customHeight="1">
      <c r="A74" s="8" t="s">
        <v>494</v>
      </c>
      <c r="B74" s="8" t="s">
        <v>495</v>
      </c>
      <c r="C74" s="1" t="s">
        <v>496</v>
      </c>
      <c r="D74" s="1" t="s">
        <v>497</v>
      </c>
      <c r="E74" s="1" t="s">
        <v>498</v>
      </c>
      <c r="F74" s="1" t="s">
        <v>277</v>
      </c>
      <c r="G74" s="1" t="s">
        <v>27</v>
      </c>
      <c r="H74" s="1" t="s">
        <v>28</v>
      </c>
      <c r="I74" s="1" t="s">
        <v>499</v>
      </c>
      <c r="K74" s="1">
        <v>35.974</v>
      </c>
      <c r="L74" s="1">
        <v>-100.159</v>
      </c>
      <c r="Q74" s="2">
        <v>0.0107345357537269</v>
      </c>
    </row>
    <row r="75" ht="15.75" customHeight="1">
      <c r="A75" s="8" t="s">
        <v>500</v>
      </c>
      <c r="B75" s="8" t="s">
        <v>501</v>
      </c>
      <c r="C75" s="1" t="s">
        <v>502</v>
      </c>
      <c r="D75" s="1" t="s">
        <v>503</v>
      </c>
      <c r="E75" s="1" t="s">
        <v>504</v>
      </c>
      <c r="F75" s="1" t="s">
        <v>105</v>
      </c>
      <c r="G75" s="1" t="s">
        <v>27</v>
      </c>
      <c r="H75" s="1" t="s">
        <v>43</v>
      </c>
      <c r="I75" s="1" t="s">
        <v>504</v>
      </c>
      <c r="K75" s="1">
        <v>34.809</v>
      </c>
      <c r="L75" s="1">
        <v>-99.355</v>
      </c>
      <c r="Q75" s="2">
        <v>0.0079346084967255</v>
      </c>
    </row>
    <row r="76" ht="15.75" customHeight="1">
      <c r="A76" s="8" t="s">
        <v>505</v>
      </c>
      <c r="B76" s="8" t="s">
        <v>506</v>
      </c>
      <c r="C76" s="1" t="s">
        <v>507</v>
      </c>
      <c r="D76" s="1" t="s">
        <v>508</v>
      </c>
      <c r="E76" s="1" t="s">
        <v>509</v>
      </c>
      <c r="F76" s="1" t="s">
        <v>105</v>
      </c>
      <c r="G76" s="1" t="s">
        <v>27</v>
      </c>
      <c r="H76" s="1" t="s">
        <v>43</v>
      </c>
      <c r="I76" s="1" t="s">
        <v>510</v>
      </c>
      <c r="K76" s="1">
        <v>34.01</v>
      </c>
      <c r="L76" s="1">
        <v>-99.112</v>
      </c>
      <c r="Q76" s="2">
        <v>0.0107991863042116</v>
      </c>
    </row>
    <row r="77" ht="15.75" customHeight="1">
      <c r="A77" s="8" t="s">
        <v>511</v>
      </c>
      <c r="B77" s="8" t="s">
        <v>512</v>
      </c>
      <c r="C77" s="1" t="s">
        <v>507</v>
      </c>
      <c r="D77" s="1" t="s">
        <v>513</v>
      </c>
      <c r="E77" s="1" t="s">
        <v>514</v>
      </c>
      <c r="F77" s="1" t="s">
        <v>105</v>
      </c>
      <c r="G77" s="1" t="s">
        <v>27</v>
      </c>
      <c r="H77" s="1" t="s">
        <v>28</v>
      </c>
      <c r="I77" s="1" t="s">
        <v>515</v>
      </c>
      <c r="K77" s="1">
        <v>33.806</v>
      </c>
      <c r="L77" s="1">
        <v>-99.059</v>
      </c>
      <c r="Q77" s="2">
        <v>0.0184092298150062</v>
      </c>
    </row>
    <row r="78" ht="15.75" customHeight="1">
      <c r="A78" s="8" t="s">
        <v>516</v>
      </c>
      <c r="B78" s="8" t="s">
        <v>517</v>
      </c>
      <c r="C78" s="1" t="s">
        <v>518</v>
      </c>
      <c r="D78" s="1" t="s">
        <v>514</v>
      </c>
      <c r="E78" s="1" t="s">
        <v>519</v>
      </c>
      <c r="F78" s="1" t="s">
        <v>105</v>
      </c>
      <c r="G78" s="1" t="s">
        <v>50</v>
      </c>
      <c r="H78" s="1" t="s">
        <v>28</v>
      </c>
      <c r="I78" s="1" t="s">
        <v>520</v>
      </c>
      <c r="J78" s="1" t="s">
        <v>521</v>
      </c>
      <c r="K78" s="1">
        <v>34.12</v>
      </c>
      <c r="L78" s="1">
        <v>-98.641</v>
      </c>
      <c r="M78" s="1">
        <v>34.19</v>
      </c>
      <c r="N78" s="1">
        <v>-98.57</v>
      </c>
      <c r="O78" s="1">
        <v>13.0</v>
      </c>
      <c r="P78" s="1" t="s">
        <v>91</v>
      </c>
      <c r="Q78" s="2">
        <v>0.0231624692678451</v>
      </c>
      <c r="R78" s="1">
        <f>T78*1.609344</f>
        <v>10.6216704</v>
      </c>
      <c r="S78" s="1">
        <f>U78*0.9144</f>
        <v>91.44</v>
      </c>
      <c r="T78" s="1">
        <v>6.6</v>
      </c>
      <c r="U78" s="1">
        <v>100.0</v>
      </c>
    </row>
    <row r="79" ht="15.75" customHeight="1">
      <c r="A79" s="8" t="s">
        <v>522</v>
      </c>
      <c r="B79" s="8" t="s">
        <v>523</v>
      </c>
      <c r="C79" s="1" t="s">
        <v>524</v>
      </c>
      <c r="D79" s="1" t="s">
        <v>525</v>
      </c>
      <c r="E79" s="1" t="s">
        <v>526</v>
      </c>
      <c r="F79" s="1" t="s">
        <v>168</v>
      </c>
      <c r="G79" s="1" t="s">
        <v>27</v>
      </c>
      <c r="H79" s="1" t="s">
        <v>43</v>
      </c>
      <c r="I79" s="1" t="s">
        <v>527</v>
      </c>
      <c r="K79" s="1">
        <v>37.327</v>
      </c>
      <c r="L79" s="1">
        <v>-97.047</v>
      </c>
      <c r="Q79" s="2">
        <v>0.0183517280966043</v>
      </c>
    </row>
    <row r="80" ht="15.75" customHeight="1">
      <c r="A80" s="8" t="s">
        <v>528</v>
      </c>
      <c r="B80" s="8" t="s">
        <v>529</v>
      </c>
      <c r="C80" s="1" t="s">
        <v>336</v>
      </c>
      <c r="D80" s="1" t="s">
        <v>530</v>
      </c>
      <c r="E80" s="1" t="s">
        <v>531</v>
      </c>
      <c r="F80" s="1" t="s">
        <v>319</v>
      </c>
      <c r="G80" s="1" t="s">
        <v>50</v>
      </c>
      <c r="H80" s="1" t="s">
        <v>28</v>
      </c>
      <c r="I80" s="1" t="s">
        <v>532</v>
      </c>
      <c r="J80" s="1" t="s">
        <v>533</v>
      </c>
      <c r="K80" s="1">
        <v>36.058</v>
      </c>
      <c r="L80" s="1">
        <v>-98.284</v>
      </c>
      <c r="M80" s="1">
        <v>36.12</v>
      </c>
      <c r="N80" s="1">
        <v>-98.1</v>
      </c>
      <c r="O80" s="1">
        <v>19.0</v>
      </c>
      <c r="P80" s="1" t="s">
        <v>91</v>
      </c>
      <c r="Q80" s="2">
        <v>0.0277779400348663</v>
      </c>
      <c r="R80" s="1">
        <f>T80*1.609344</f>
        <v>18.1855872</v>
      </c>
      <c r="S80" s="1">
        <f>U80*0.9144</f>
        <v>274.32</v>
      </c>
      <c r="T80" s="1">
        <v>11.3</v>
      </c>
      <c r="U80" s="1">
        <v>300.0</v>
      </c>
    </row>
    <row r="81" ht="15.75" customHeight="1">
      <c r="A81" s="8" t="s">
        <v>534</v>
      </c>
      <c r="B81" s="8" t="s">
        <v>535</v>
      </c>
      <c r="C81" s="1" t="s">
        <v>536</v>
      </c>
      <c r="D81" s="1" t="s">
        <v>537</v>
      </c>
      <c r="E81" s="1" t="s">
        <v>538</v>
      </c>
      <c r="F81" s="1" t="s">
        <v>319</v>
      </c>
      <c r="G81" s="1" t="s">
        <v>27</v>
      </c>
      <c r="H81" s="1" t="s">
        <v>28</v>
      </c>
      <c r="I81" s="1" t="s">
        <v>539</v>
      </c>
      <c r="K81" s="1">
        <v>35.931</v>
      </c>
      <c r="L81" s="1">
        <v>-98.533</v>
      </c>
      <c r="Q81" s="2">
        <v>0.0188058577477931</v>
      </c>
    </row>
    <row r="82" ht="15.75" customHeight="1">
      <c r="A82" s="8" t="s">
        <v>540</v>
      </c>
      <c r="B82" s="8" t="s">
        <v>541</v>
      </c>
      <c r="C82" s="1" t="s">
        <v>542</v>
      </c>
      <c r="D82" s="1" t="s">
        <v>543</v>
      </c>
      <c r="E82" s="1" t="s">
        <v>544</v>
      </c>
      <c r="F82" s="1" t="s">
        <v>88</v>
      </c>
      <c r="G82" s="1" t="s">
        <v>27</v>
      </c>
      <c r="H82" s="1" t="s">
        <v>43</v>
      </c>
      <c r="I82" s="1" t="s">
        <v>543</v>
      </c>
      <c r="K82" s="1">
        <v>35.697</v>
      </c>
      <c r="L82" s="1">
        <v>-98.261</v>
      </c>
      <c r="Q82" s="2">
        <v>0.0255865901708602</v>
      </c>
    </row>
    <row r="83" ht="15.75" customHeight="1">
      <c r="A83" s="8" t="s">
        <v>545</v>
      </c>
      <c r="B83" s="8" t="s">
        <v>546</v>
      </c>
      <c r="C83" s="1" t="s">
        <v>547</v>
      </c>
      <c r="D83" s="1" t="s">
        <v>548</v>
      </c>
      <c r="E83" s="1" t="s">
        <v>549</v>
      </c>
      <c r="F83" s="1" t="s">
        <v>105</v>
      </c>
      <c r="G83" s="1" t="s">
        <v>50</v>
      </c>
      <c r="H83" s="1" t="s">
        <v>43</v>
      </c>
      <c r="I83" s="1" t="s">
        <v>550</v>
      </c>
      <c r="J83" s="1" t="s">
        <v>551</v>
      </c>
      <c r="K83" s="1">
        <v>34.579</v>
      </c>
      <c r="L83" s="1">
        <v>-99.657</v>
      </c>
      <c r="M83" s="1">
        <v>34.647</v>
      </c>
      <c r="N83" s="1">
        <v>-99.476</v>
      </c>
      <c r="O83" s="1">
        <v>53.0</v>
      </c>
      <c r="P83" s="1" t="s">
        <v>53</v>
      </c>
      <c r="Q83" s="2">
        <v>0.0502110384404659</v>
      </c>
      <c r="R83" s="1">
        <f t="shared" ref="R83:R85" si="21">T83*1.609344</f>
        <v>24.3010944</v>
      </c>
      <c r="S83" s="1">
        <f t="shared" ref="S83:S85" si="22">U83*0.9144</f>
        <v>1792.224</v>
      </c>
      <c r="T83" s="1">
        <v>15.1</v>
      </c>
      <c r="U83" s="1">
        <v>1960.0</v>
      </c>
    </row>
    <row r="84" ht="15.75" customHeight="1">
      <c r="A84" s="8" t="s">
        <v>552</v>
      </c>
      <c r="B84" s="8" t="s">
        <v>553</v>
      </c>
      <c r="C84" s="1" t="s">
        <v>554</v>
      </c>
      <c r="D84" s="1" t="s">
        <v>555</v>
      </c>
      <c r="E84" s="1" t="s">
        <v>556</v>
      </c>
      <c r="F84" s="1" t="s">
        <v>319</v>
      </c>
      <c r="G84" s="1" t="s">
        <v>50</v>
      </c>
      <c r="H84" s="1" t="s">
        <v>28</v>
      </c>
      <c r="I84" s="1" t="s">
        <v>557</v>
      </c>
      <c r="J84" s="1" t="s">
        <v>558</v>
      </c>
      <c r="K84" s="1">
        <v>35.673</v>
      </c>
      <c r="L84" s="1">
        <v>-99.07</v>
      </c>
      <c r="M84" s="1">
        <v>35.686</v>
      </c>
      <c r="N84" s="1">
        <v>-98.961</v>
      </c>
      <c r="O84" s="1">
        <v>16.0</v>
      </c>
      <c r="P84" s="1" t="s">
        <v>53</v>
      </c>
      <c r="Q84" s="2">
        <v>0.027477029711008</v>
      </c>
      <c r="R84" s="1">
        <f t="shared" si="21"/>
        <v>11.1044736</v>
      </c>
      <c r="S84" s="1">
        <f t="shared" si="22"/>
        <v>1609.344</v>
      </c>
      <c r="T84" s="1">
        <v>6.9</v>
      </c>
      <c r="U84" s="1">
        <v>1760.0</v>
      </c>
    </row>
    <row r="85" ht="15.75" customHeight="1">
      <c r="A85" s="8" t="s">
        <v>559</v>
      </c>
      <c r="B85" s="8" t="s">
        <v>560</v>
      </c>
      <c r="C85" s="1" t="s">
        <v>561</v>
      </c>
      <c r="D85" s="1" t="s">
        <v>562</v>
      </c>
      <c r="E85" s="1" t="s">
        <v>563</v>
      </c>
      <c r="F85" s="1" t="s">
        <v>319</v>
      </c>
      <c r="G85" s="1" t="s">
        <v>50</v>
      </c>
      <c r="H85" s="1" t="s">
        <v>43</v>
      </c>
      <c r="I85" s="1" t="s">
        <v>564</v>
      </c>
      <c r="J85" s="1" t="s">
        <v>565</v>
      </c>
      <c r="K85" s="1">
        <v>36.213</v>
      </c>
      <c r="L85" s="1">
        <v>-99.188</v>
      </c>
      <c r="M85" s="1">
        <v>36.233</v>
      </c>
      <c r="N85" s="1">
        <v>-99.15</v>
      </c>
      <c r="O85" s="1">
        <v>6.0</v>
      </c>
      <c r="P85" s="1" t="s">
        <v>91</v>
      </c>
      <c r="Q85" s="2">
        <v>0.0216997433453798</v>
      </c>
      <c r="R85" s="1">
        <f t="shared" si="21"/>
        <v>4.1842944</v>
      </c>
      <c r="S85" s="1">
        <f t="shared" si="22"/>
        <v>45.72</v>
      </c>
      <c r="T85" s="1">
        <v>2.6</v>
      </c>
      <c r="U85" s="1">
        <v>50.0</v>
      </c>
    </row>
    <row r="86" ht="15.75" customHeight="1">
      <c r="A86" s="8" t="s">
        <v>566</v>
      </c>
      <c r="B86" s="8" t="s">
        <v>567</v>
      </c>
      <c r="C86" s="1" t="s">
        <v>568</v>
      </c>
      <c r="D86" s="1" t="s">
        <v>569</v>
      </c>
      <c r="E86" s="1" t="s">
        <v>570</v>
      </c>
      <c r="F86" s="1" t="s">
        <v>319</v>
      </c>
      <c r="G86" s="1" t="s">
        <v>27</v>
      </c>
      <c r="H86" s="1" t="s">
        <v>28</v>
      </c>
      <c r="I86" s="1" t="s">
        <v>571</v>
      </c>
      <c r="K86" s="1">
        <v>36.155</v>
      </c>
      <c r="L86" s="1">
        <v>-97.671</v>
      </c>
      <c r="Q86" s="2">
        <v>0.0159748159348964</v>
      </c>
    </row>
    <row r="87" ht="15.75" customHeight="1">
      <c r="A87" s="8" t="s">
        <v>572</v>
      </c>
      <c r="B87" s="8" t="s">
        <v>573</v>
      </c>
      <c r="C87" s="1" t="s">
        <v>267</v>
      </c>
      <c r="D87" s="1" t="s">
        <v>574</v>
      </c>
      <c r="E87" s="1" t="s">
        <v>575</v>
      </c>
      <c r="F87" s="1" t="s">
        <v>113</v>
      </c>
      <c r="G87" s="1" t="s">
        <v>27</v>
      </c>
      <c r="H87" s="1" t="s">
        <v>43</v>
      </c>
      <c r="I87" s="1" t="s">
        <v>576</v>
      </c>
      <c r="K87" s="1">
        <v>32.922</v>
      </c>
      <c r="L87" s="1">
        <v>-102.764</v>
      </c>
      <c r="Q87" s="2">
        <v>0.0220749340951442</v>
      </c>
    </row>
    <row r="88" ht="15.75" customHeight="1">
      <c r="A88" s="8" t="s">
        <v>577</v>
      </c>
      <c r="B88" s="8" t="s">
        <v>578</v>
      </c>
      <c r="C88" s="1" t="s">
        <v>579</v>
      </c>
      <c r="D88" s="1" t="s">
        <v>580</v>
      </c>
      <c r="E88" s="1" t="s">
        <v>581</v>
      </c>
      <c r="F88" s="1" t="s">
        <v>263</v>
      </c>
      <c r="G88" s="1" t="s">
        <v>27</v>
      </c>
      <c r="H88" s="1" t="s">
        <v>28</v>
      </c>
      <c r="I88" s="1" t="s">
        <v>582</v>
      </c>
      <c r="K88" s="1">
        <v>32.805</v>
      </c>
      <c r="L88" s="1">
        <v>-102.862</v>
      </c>
      <c r="Q88" s="2">
        <v>0.013427666388452</v>
      </c>
    </row>
    <row r="89" ht="15.75" customHeight="1">
      <c r="A89" s="8" t="s">
        <v>583</v>
      </c>
      <c r="B89" s="8" t="s">
        <v>584</v>
      </c>
      <c r="C89" s="1" t="s">
        <v>151</v>
      </c>
      <c r="D89" s="1" t="s">
        <v>585</v>
      </c>
      <c r="E89" s="1" t="s">
        <v>586</v>
      </c>
      <c r="F89" s="1" t="s">
        <v>113</v>
      </c>
      <c r="G89" s="1" t="s">
        <v>27</v>
      </c>
      <c r="H89" s="1" t="s">
        <v>28</v>
      </c>
      <c r="I89" s="1" t="s">
        <v>587</v>
      </c>
      <c r="K89" s="1">
        <v>33.063</v>
      </c>
      <c r="L89" s="1">
        <v>-102.674</v>
      </c>
      <c r="Q89" s="2">
        <v>0.0115743912756443</v>
      </c>
    </row>
    <row r="90" ht="15.75" customHeight="1">
      <c r="A90" s="8" t="s">
        <v>588</v>
      </c>
      <c r="B90" s="8" t="s">
        <v>589</v>
      </c>
      <c r="C90" s="1" t="s">
        <v>590</v>
      </c>
      <c r="D90" s="1" t="s">
        <v>591</v>
      </c>
      <c r="E90" s="1" t="s">
        <v>592</v>
      </c>
      <c r="F90" s="1" t="s">
        <v>97</v>
      </c>
      <c r="G90" s="1" t="s">
        <v>27</v>
      </c>
      <c r="H90" s="1" t="s">
        <v>28</v>
      </c>
      <c r="I90" s="1" t="s">
        <v>593</v>
      </c>
      <c r="K90" s="1">
        <v>40.207</v>
      </c>
      <c r="L90" s="1">
        <v>-100.779</v>
      </c>
      <c r="Q90" s="2">
        <v>0.0116627858951687</v>
      </c>
    </row>
    <row r="91" ht="15.75" customHeight="1">
      <c r="A91" s="8" t="s">
        <v>594</v>
      </c>
      <c r="B91" s="8" t="s">
        <v>595</v>
      </c>
      <c r="C91" s="1" t="s">
        <v>596</v>
      </c>
      <c r="D91" s="1" t="s">
        <v>597</v>
      </c>
      <c r="E91" s="1" t="s">
        <v>598</v>
      </c>
      <c r="F91" s="1" t="s">
        <v>26</v>
      </c>
      <c r="G91" s="1" t="s">
        <v>27</v>
      </c>
      <c r="H91" s="9" t="s">
        <v>28</v>
      </c>
      <c r="I91" s="1" t="s">
        <v>598</v>
      </c>
      <c r="Q91" s="2">
        <v>0.0109217492863535</v>
      </c>
    </row>
    <row r="92" ht="15.75" customHeight="1">
      <c r="A92" s="8" t="s">
        <v>599</v>
      </c>
      <c r="B92" s="8" t="s">
        <v>600</v>
      </c>
      <c r="C92" s="1" t="s">
        <v>601</v>
      </c>
      <c r="D92" s="1" t="s">
        <v>602</v>
      </c>
      <c r="E92" s="1" t="s">
        <v>603</v>
      </c>
      <c r="F92" s="1" t="s">
        <v>604</v>
      </c>
      <c r="G92" s="1" t="s">
        <v>50</v>
      </c>
      <c r="H92" s="9" t="s">
        <v>28</v>
      </c>
      <c r="I92" s="1" t="s">
        <v>605</v>
      </c>
      <c r="J92" s="1" t="s">
        <v>606</v>
      </c>
      <c r="K92" s="1">
        <v>32.55</v>
      </c>
      <c r="L92" s="1">
        <v>-95.34</v>
      </c>
      <c r="M92" s="1">
        <v>32.77</v>
      </c>
      <c r="N92" s="1">
        <v>-94.99</v>
      </c>
      <c r="O92" s="1">
        <v>37.0</v>
      </c>
      <c r="P92" s="1" t="s">
        <v>91</v>
      </c>
      <c r="Q92" s="2">
        <v>0.0215648058801889</v>
      </c>
      <c r="R92" s="1">
        <f t="shared" ref="R92:R96" si="23">T92*1.609344</f>
        <v>42.3257472</v>
      </c>
      <c r="S92" s="1">
        <f>U92*0.9144</f>
        <v>1298.448</v>
      </c>
      <c r="T92" s="1">
        <v>26.3</v>
      </c>
      <c r="U92" s="1">
        <v>1420.0</v>
      </c>
    </row>
    <row r="93" ht="15.75" customHeight="1">
      <c r="A93" s="8" t="s">
        <v>607</v>
      </c>
      <c r="B93" s="8" t="s">
        <v>608</v>
      </c>
      <c r="C93" s="1" t="s">
        <v>609</v>
      </c>
      <c r="D93" s="1" t="s">
        <v>610</v>
      </c>
      <c r="E93" s="1" t="s">
        <v>611</v>
      </c>
      <c r="F93" s="1" t="s">
        <v>113</v>
      </c>
      <c r="G93" s="1" t="s">
        <v>50</v>
      </c>
      <c r="H93" s="9" t="s">
        <v>28</v>
      </c>
      <c r="I93" s="1" t="s">
        <v>612</v>
      </c>
      <c r="J93" s="1" t="s">
        <v>613</v>
      </c>
      <c r="K93" s="1">
        <v>34.3</v>
      </c>
      <c r="L93" s="1">
        <v>-101.36</v>
      </c>
      <c r="M93" s="1">
        <v>34.34</v>
      </c>
      <c r="N93" s="1">
        <v>-101.33</v>
      </c>
      <c r="O93" s="1">
        <v>6.0</v>
      </c>
      <c r="P93" s="1" t="s">
        <v>122</v>
      </c>
      <c r="Q93" s="2">
        <v>0.0125085916370153</v>
      </c>
      <c r="R93" s="1">
        <f t="shared" si="23"/>
        <v>5.1499008</v>
      </c>
      <c r="T93" s="1">
        <v>3.2</v>
      </c>
    </row>
    <row r="94" ht="15.75" customHeight="1">
      <c r="A94" s="8" t="s">
        <v>614</v>
      </c>
      <c r="B94" s="8" t="s">
        <v>615</v>
      </c>
      <c r="C94" s="1" t="s">
        <v>616</v>
      </c>
      <c r="D94" s="1" t="s">
        <v>617</v>
      </c>
      <c r="E94" s="1" t="s">
        <v>618</v>
      </c>
      <c r="F94" s="1" t="s">
        <v>113</v>
      </c>
      <c r="G94" s="1" t="s">
        <v>50</v>
      </c>
      <c r="H94" s="9" t="s">
        <v>43</v>
      </c>
      <c r="I94" s="1" t="s">
        <v>619</v>
      </c>
      <c r="J94" s="1" t="s">
        <v>620</v>
      </c>
      <c r="K94" s="1">
        <v>34.13</v>
      </c>
      <c r="L94" s="1">
        <v>-101.12</v>
      </c>
      <c r="M94" s="1">
        <v>34.03</v>
      </c>
      <c r="N94" s="1">
        <v>-101.0</v>
      </c>
      <c r="O94" s="1">
        <v>28.0</v>
      </c>
      <c r="P94" s="1" t="s">
        <v>66</v>
      </c>
      <c r="Q94" s="2">
        <v>0.0367222800850868</v>
      </c>
      <c r="R94" s="1">
        <f t="shared" si="23"/>
        <v>16.2543744</v>
      </c>
      <c r="T94" s="1">
        <v>10.1</v>
      </c>
    </row>
    <row r="95" ht="15.75" customHeight="1">
      <c r="A95" s="8" t="s">
        <v>621</v>
      </c>
      <c r="B95" s="8" t="s">
        <v>622</v>
      </c>
      <c r="C95" s="1" t="s">
        <v>616</v>
      </c>
      <c r="D95" s="1" t="s">
        <v>623</v>
      </c>
      <c r="E95" s="1" t="s">
        <v>624</v>
      </c>
      <c r="F95" s="1" t="s">
        <v>113</v>
      </c>
      <c r="G95" s="1" t="s">
        <v>50</v>
      </c>
      <c r="H95" s="9" t="s">
        <v>28</v>
      </c>
      <c r="I95" s="1" t="s">
        <v>625</v>
      </c>
      <c r="J95" s="1" t="s">
        <v>626</v>
      </c>
      <c r="K95" s="1">
        <v>33.93</v>
      </c>
      <c r="L95" s="1">
        <v>-100.92</v>
      </c>
      <c r="M95" s="1">
        <v>33.9</v>
      </c>
      <c r="N95" s="1">
        <v>-100.92</v>
      </c>
      <c r="O95" s="1">
        <v>5.0</v>
      </c>
      <c r="P95" s="1" t="s">
        <v>122</v>
      </c>
      <c r="Q95" s="2">
        <v>0.0209822803735733</v>
      </c>
      <c r="R95" s="1">
        <f t="shared" si="23"/>
        <v>2.8968192</v>
      </c>
      <c r="T95" s="1">
        <v>1.8</v>
      </c>
    </row>
    <row r="96" ht="15.75" customHeight="1">
      <c r="A96" s="8" t="s">
        <v>627</v>
      </c>
      <c r="B96" s="8" t="s">
        <v>628</v>
      </c>
      <c r="C96" s="1" t="s">
        <v>151</v>
      </c>
      <c r="D96" s="1" t="s">
        <v>629</v>
      </c>
      <c r="E96" s="1" t="s">
        <v>630</v>
      </c>
      <c r="F96" s="1" t="s">
        <v>113</v>
      </c>
      <c r="G96" s="1" t="s">
        <v>50</v>
      </c>
      <c r="H96" s="9" t="s">
        <v>43</v>
      </c>
      <c r="I96" s="1" t="s">
        <v>631</v>
      </c>
      <c r="J96" s="1" t="s">
        <v>632</v>
      </c>
      <c r="K96" s="1">
        <v>33.95</v>
      </c>
      <c r="L96" s="1">
        <v>-102.65</v>
      </c>
      <c r="M96" s="1">
        <v>33.92</v>
      </c>
      <c r="N96" s="1">
        <v>-102.58</v>
      </c>
      <c r="O96" s="1">
        <v>28.0</v>
      </c>
      <c r="P96" s="1" t="s">
        <v>122</v>
      </c>
      <c r="Q96" s="2">
        <v>0.0380990803241729</v>
      </c>
      <c r="R96" s="1">
        <f t="shared" si="23"/>
        <v>6.9201792</v>
      </c>
      <c r="T96" s="1">
        <v>4.3</v>
      </c>
    </row>
    <row r="97" ht="15.75" customHeight="1">
      <c r="A97" s="8" t="s">
        <v>633</v>
      </c>
      <c r="B97" s="8" t="s">
        <v>634</v>
      </c>
      <c r="C97" s="1" t="s">
        <v>635</v>
      </c>
      <c r="D97" s="1" t="s">
        <v>636</v>
      </c>
      <c r="E97" s="1" t="s">
        <v>637</v>
      </c>
      <c r="F97" s="1" t="s">
        <v>105</v>
      </c>
      <c r="G97" s="1" t="s">
        <v>27</v>
      </c>
      <c r="H97" s="9" t="s">
        <v>43</v>
      </c>
      <c r="I97" s="1" t="s">
        <v>638</v>
      </c>
      <c r="Q97" s="2">
        <v>0.0156493503600358</v>
      </c>
    </row>
    <row r="98" ht="15.75" customHeight="1">
      <c r="A98" s="8" t="s">
        <v>639</v>
      </c>
      <c r="B98" s="8" t="s">
        <v>640</v>
      </c>
      <c r="C98" s="1" t="s">
        <v>641</v>
      </c>
      <c r="D98" s="1" t="s">
        <v>642</v>
      </c>
      <c r="E98" s="1" t="s">
        <v>643</v>
      </c>
      <c r="F98" s="1" t="s">
        <v>105</v>
      </c>
      <c r="G98" s="1" t="s">
        <v>27</v>
      </c>
      <c r="H98" s="9" t="s">
        <v>28</v>
      </c>
      <c r="I98" s="1" t="s">
        <v>644</v>
      </c>
      <c r="Q98" s="2">
        <v>0.0184327270835638</v>
      </c>
    </row>
    <row r="99" ht="15.75" customHeight="1">
      <c r="A99" s="8" t="s">
        <v>645</v>
      </c>
      <c r="B99" s="8" t="s">
        <v>646</v>
      </c>
      <c r="C99" s="1" t="s">
        <v>647</v>
      </c>
      <c r="D99" s="1" t="s">
        <v>648</v>
      </c>
      <c r="E99" s="1" t="s">
        <v>649</v>
      </c>
      <c r="F99" s="1" t="s">
        <v>105</v>
      </c>
      <c r="G99" s="1" t="s">
        <v>50</v>
      </c>
      <c r="H99" s="9" t="s">
        <v>28</v>
      </c>
      <c r="I99" s="1" t="s">
        <v>650</v>
      </c>
      <c r="J99" s="1" t="s">
        <v>651</v>
      </c>
      <c r="K99" s="1">
        <v>33.63</v>
      </c>
      <c r="L99" s="1">
        <v>-99.57</v>
      </c>
      <c r="M99" s="1">
        <v>33.62</v>
      </c>
      <c r="N99" s="1">
        <v>-99.37</v>
      </c>
      <c r="O99" s="1">
        <v>25.0</v>
      </c>
      <c r="P99" s="1" t="s">
        <v>53</v>
      </c>
      <c r="Q99" s="2">
        <v>0.0374504439532756</v>
      </c>
      <c r="R99" s="1">
        <f>T99*1.609344</f>
        <v>18.9902592</v>
      </c>
      <c r="T99" s="1">
        <v>11.8</v>
      </c>
    </row>
    <row r="100" ht="15.75" customHeight="1">
      <c r="A100" s="8" t="s">
        <v>652</v>
      </c>
      <c r="B100" s="8" t="s">
        <v>653</v>
      </c>
      <c r="C100" s="1" t="s">
        <v>654</v>
      </c>
      <c r="D100" s="1" t="s">
        <v>655</v>
      </c>
      <c r="E100" s="1" t="s">
        <v>656</v>
      </c>
      <c r="F100" s="1" t="s">
        <v>263</v>
      </c>
      <c r="G100" s="1" t="s">
        <v>27</v>
      </c>
      <c r="H100" s="9" t="s">
        <v>28</v>
      </c>
      <c r="I100" s="1" t="s">
        <v>657</v>
      </c>
      <c r="Q100" s="2">
        <v>0.020901309326291</v>
      </c>
    </row>
    <row r="101" ht="15.75" customHeight="1">
      <c r="A101" s="8" t="s">
        <v>658</v>
      </c>
      <c r="B101" s="8" t="s">
        <v>659</v>
      </c>
      <c r="C101" s="1" t="s">
        <v>660</v>
      </c>
      <c r="D101" s="1" t="s">
        <v>661</v>
      </c>
      <c r="E101" s="1" t="s">
        <v>662</v>
      </c>
      <c r="F101" s="1" t="s">
        <v>319</v>
      </c>
      <c r="G101" s="1" t="s">
        <v>50</v>
      </c>
      <c r="H101" s="9" t="s">
        <v>43</v>
      </c>
      <c r="I101" s="1" t="s">
        <v>663</v>
      </c>
      <c r="J101" s="1" t="s">
        <v>664</v>
      </c>
      <c r="K101" s="1">
        <v>36.09</v>
      </c>
      <c r="L101" s="1">
        <v>-99.87</v>
      </c>
      <c r="M101" s="1">
        <v>36.14</v>
      </c>
      <c r="N101" s="1">
        <v>-99.79</v>
      </c>
      <c r="O101" s="1">
        <v>15.0</v>
      </c>
      <c r="P101" s="1" t="s">
        <v>665</v>
      </c>
      <c r="Q101" s="2">
        <v>0.0190877113491296</v>
      </c>
      <c r="R101" s="1">
        <f>T101*1.609344</f>
        <v>9.656064</v>
      </c>
      <c r="S101" s="1">
        <f>U101*0.9144</f>
        <v>45.72</v>
      </c>
      <c r="T101" s="1">
        <v>6.0</v>
      </c>
      <c r="U101" s="1">
        <v>50.0</v>
      </c>
    </row>
    <row r="102" ht="15.75" customHeight="1">
      <c r="A102" s="8" t="s">
        <v>666</v>
      </c>
      <c r="B102" s="8" t="s">
        <v>667</v>
      </c>
      <c r="C102" s="1" t="s">
        <v>23</v>
      </c>
      <c r="D102" s="1" t="s">
        <v>668</v>
      </c>
      <c r="E102" s="1" t="s">
        <v>669</v>
      </c>
      <c r="F102" s="1" t="s">
        <v>105</v>
      </c>
      <c r="G102" s="1" t="s">
        <v>27</v>
      </c>
      <c r="H102" s="9" t="s">
        <v>28</v>
      </c>
      <c r="I102" s="1" t="s">
        <v>670</v>
      </c>
      <c r="Q102" s="2">
        <v>0.0117305498570203</v>
      </c>
    </row>
    <row r="103" ht="15.75" customHeight="1">
      <c r="A103" s="8" t="s">
        <v>671</v>
      </c>
      <c r="B103" s="8" t="s">
        <v>672</v>
      </c>
      <c r="C103" s="1" t="s">
        <v>23</v>
      </c>
      <c r="D103" s="1" t="s">
        <v>673</v>
      </c>
      <c r="E103" s="1" t="s">
        <v>674</v>
      </c>
      <c r="F103" s="1" t="s">
        <v>26</v>
      </c>
      <c r="G103" s="1" t="s">
        <v>27</v>
      </c>
      <c r="H103" s="9" t="s">
        <v>43</v>
      </c>
      <c r="I103" s="1" t="s">
        <v>675</v>
      </c>
      <c r="Q103" s="2">
        <v>0.0126684112474322</v>
      </c>
    </row>
    <row r="104" ht="15.75" customHeight="1">
      <c r="A104" s="8" t="s">
        <v>676</v>
      </c>
      <c r="B104" s="8" t="s">
        <v>677</v>
      </c>
      <c r="C104" s="1" t="s">
        <v>518</v>
      </c>
      <c r="D104" s="1" t="s">
        <v>678</v>
      </c>
      <c r="E104" s="1" t="s">
        <v>679</v>
      </c>
      <c r="F104" s="1" t="s">
        <v>26</v>
      </c>
      <c r="G104" s="1" t="s">
        <v>27</v>
      </c>
      <c r="H104" s="9" t="s">
        <v>28</v>
      </c>
      <c r="I104" s="1" t="s">
        <v>680</v>
      </c>
      <c r="Q104" s="2">
        <v>0.0139525644481182</v>
      </c>
    </row>
    <row r="105" ht="15.75" customHeight="1">
      <c r="A105" s="8" t="s">
        <v>681</v>
      </c>
      <c r="B105" s="8" t="s">
        <v>682</v>
      </c>
      <c r="C105" s="1" t="s">
        <v>158</v>
      </c>
      <c r="D105" s="1" t="s">
        <v>683</v>
      </c>
      <c r="E105" s="1" t="s">
        <v>684</v>
      </c>
      <c r="F105" s="1" t="s">
        <v>113</v>
      </c>
      <c r="G105" s="1" t="s">
        <v>50</v>
      </c>
      <c r="H105" s="9" t="s">
        <v>43</v>
      </c>
      <c r="I105" s="1" t="s">
        <v>685</v>
      </c>
      <c r="J105" s="1" t="s">
        <v>686</v>
      </c>
      <c r="K105" s="1">
        <v>33.8</v>
      </c>
      <c r="L105" s="1">
        <v>-102.88</v>
      </c>
      <c r="M105" s="1">
        <v>33.78</v>
      </c>
      <c r="N105" s="1">
        <v>-102.71</v>
      </c>
      <c r="O105" s="1">
        <v>20.0</v>
      </c>
      <c r="P105" s="1" t="s">
        <v>53</v>
      </c>
      <c r="Q105" s="2">
        <v>0.0409530140459537</v>
      </c>
      <c r="R105" s="1">
        <f>T105*1.609344</f>
        <v>16.09344</v>
      </c>
      <c r="T105" s="1">
        <v>10.0</v>
      </c>
    </row>
    <row r="106" ht="15.75" customHeight="1">
      <c r="A106" s="8" t="s">
        <v>687</v>
      </c>
      <c r="B106" s="8" t="s">
        <v>688</v>
      </c>
      <c r="C106" s="1" t="s">
        <v>689</v>
      </c>
      <c r="D106" s="1" t="s">
        <v>690</v>
      </c>
      <c r="E106" s="1" t="s">
        <v>691</v>
      </c>
      <c r="F106" s="1" t="s">
        <v>277</v>
      </c>
      <c r="G106" s="1" t="s">
        <v>27</v>
      </c>
      <c r="H106" s="9" t="s">
        <v>28</v>
      </c>
      <c r="I106" s="1" t="s">
        <v>692</v>
      </c>
      <c r="J106" s="1"/>
      <c r="O106" s="1"/>
      <c r="P106" s="1"/>
      <c r="Q106" s="2">
        <v>0.0403804332017898</v>
      </c>
    </row>
    <row r="107" ht="15.75" customHeight="1">
      <c r="A107" s="8" t="s">
        <v>693</v>
      </c>
      <c r="B107" s="8" t="s">
        <v>694</v>
      </c>
      <c r="C107" s="1" t="s">
        <v>695</v>
      </c>
      <c r="D107" s="1" t="s">
        <v>696</v>
      </c>
      <c r="E107" s="1" t="s">
        <v>697</v>
      </c>
      <c r="F107" s="1" t="s">
        <v>134</v>
      </c>
      <c r="G107" s="1" t="s">
        <v>50</v>
      </c>
      <c r="H107" s="9" t="s">
        <v>43</v>
      </c>
      <c r="I107" s="1" t="s">
        <v>698</v>
      </c>
      <c r="J107" s="1" t="s">
        <v>699</v>
      </c>
      <c r="K107" s="1">
        <v>41.13</v>
      </c>
      <c r="L107" s="1">
        <v>-98.41</v>
      </c>
      <c r="M107" s="1">
        <v>41.13</v>
      </c>
      <c r="N107" s="1">
        <v>-98.3</v>
      </c>
      <c r="O107" s="1">
        <v>11.0</v>
      </c>
      <c r="P107" s="1" t="s">
        <v>665</v>
      </c>
      <c r="Q107" s="2">
        <v>0.0337444320321083</v>
      </c>
      <c r="R107" s="1">
        <f>T107*1.609344</f>
        <v>9.8169984</v>
      </c>
      <c r="S107" s="1">
        <f>U107*0.9144</f>
        <v>320.04</v>
      </c>
      <c r="T107" s="1">
        <v>6.1</v>
      </c>
      <c r="U107" s="1">
        <v>350.0</v>
      </c>
    </row>
    <row r="108" ht="15.75" customHeight="1">
      <c r="A108" s="9" t="s">
        <v>700</v>
      </c>
      <c r="B108" s="9" t="s">
        <v>701</v>
      </c>
      <c r="C108" s="9" t="s">
        <v>702</v>
      </c>
      <c r="D108" s="9" t="s">
        <v>703</v>
      </c>
      <c r="E108" s="9" t="s">
        <v>704</v>
      </c>
      <c r="F108" s="9" t="s">
        <v>134</v>
      </c>
      <c r="G108" s="9" t="s">
        <v>27</v>
      </c>
      <c r="H108" s="9" t="s">
        <v>28</v>
      </c>
      <c r="I108" s="9" t="s">
        <v>705</v>
      </c>
      <c r="Q108" s="9">
        <v>0.023442</v>
      </c>
      <c r="R108" s="1"/>
      <c r="S108" s="1"/>
    </row>
    <row r="109" ht="15.75" customHeight="1">
      <c r="A109" s="9" t="s">
        <v>706</v>
      </c>
      <c r="B109" s="9" t="s">
        <v>707</v>
      </c>
      <c r="C109" s="9" t="s">
        <v>568</v>
      </c>
      <c r="D109" s="9" t="s">
        <v>708</v>
      </c>
      <c r="E109" s="9" t="s">
        <v>709</v>
      </c>
      <c r="F109" s="9" t="s">
        <v>710</v>
      </c>
      <c r="G109" s="9" t="s">
        <v>50</v>
      </c>
      <c r="H109" s="9" t="s">
        <v>43</v>
      </c>
      <c r="I109" s="9" t="s">
        <v>711</v>
      </c>
      <c r="J109" s="9" t="s">
        <v>712</v>
      </c>
      <c r="P109" s="9" t="s">
        <v>122</v>
      </c>
      <c r="Q109" s="9">
        <v>0.020538</v>
      </c>
      <c r="R109" s="1"/>
      <c r="S109" s="1"/>
    </row>
    <row r="110" ht="15.75" customHeight="1">
      <c r="A110" s="9" t="s">
        <v>713</v>
      </c>
      <c r="B110" s="9" t="s">
        <v>714</v>
      </c>
      <c r="C110" s="9" t="s">
        <v>715</v>
      </c>
      <c r="D110" s="9" t="s">
        <v>716</v>
      </c>
      <c r="E110" s="9" t="s">
        <v>717</v>
      </c>
      <c r="F110" s="9" t="s">
        <v>718</v>
      </c>
      <c r="G110" s="9" t="s">
        <v>50</v>
      </c>
      <c r="H110" s="9" t="s">
        <v>28</v>
      </c>
      <c r="I110" s="9" t="s">
        <v>719</v>
      </c>
      <c r="J110" s="9" t="s">
        <v>720</v>
      </c>
      <c r="K110" s="9">
        <v>38.74</v>
      </c>
      <c r="L110" s="9">
        <v>-96.98</v>
      </c>
      <c r="M110" s="9">
        <v>38.74</v>
      </c>
      <c r="N110" s="9">
        <v>-96.97</v>
      </c>
      <c r="P110" s="9" t="s">
        <v>91</v>
      </c>
      <c r="Q110" s="9">
        <v>0.020591</v>
      </c>
      <c r="R110" s="1">
        <f>T110*1.609344</f>
        <v>0.402336</v>
      </c>
      <c r="S110" s="1">
        <f>U110*0.9144</f>
        <v>0</v>
      </c>
      <c r="T110" s="9">
        <v>0.25</v>
      </c>
      <c r="U110" s="9">
        <v>0.0</v>
      </c>
    </row>
    <row r="111" ht="15.75" customHeight="1">
      <c r="K111" s="10"/>
      <c r="N111" s="10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